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cruz\Documents\N 17848\"/>
    </mc:Choice>
  </mc:AlternateContent>
  <xr:revisionPtr revIDLastSave="0" documentId="13_ncr:1_{00DC50D3-5324-492A-877D-2DF2760930BD}" xr6:coauthVersionLast="47" xr6:coauthVersionMax="47" xr10:uidLastSave="{00000000-0000-0000-0000-000000000000}"/>
  <bookViews>
    <workbookView xWindow="28680" yWindow="-120" windowWidth="29040" windowHeight="15840" firstSheet="7" activeTab="10" xr2:uid="{DDF16ADB-5828-4A33-88AA-871C4A96EB74}"/>
  </bookViews>
  <sheets>
    <sheet name="BOM" sheetId="12" r:id="rId1"/>
    <sheet name="CC-Mercury" sheetId="20" r:id="rId2"/>
    <sheet name="SAP_STD_CONDUCTORS" sheetId="2" r:id="rId3"/>
    <sheet name="SAP_STD_INS_CORE_LEADS" sheetId="1" r:id="rId4"/>
    <sheet name="SAP_STD_BUSHINGS" sheetId="3" r:id="rId5"/>
    <sheet name="SAP_STD_SPADES" sheetId="11" r:id="rId6"/>
    <sheet name="SAP_STD_SWITCHES" sheetId="9" r:id="rId7"/>
    <sheet name="SAP_STD_FUSES" sheetId="8" r:id="rId8"/>
    <sheet name="SAP_STD_GAUGES" sheetId="10" r:id="rId9"/>
    <sheet name="ME TA-SS_LIST" sheetId="13" r:id="rId10"/>
    <sheet name="ME Components" sheetId="21" r:id="rId11"/>
    <sheet name="ME TA-PP_LIST" sheetId="14" r:id="rId12"/>
    <sheet name="ME_TANK STEEL &amp; OIL" sheetId="19" r:id="rId13"/>
    <sheet name="Revisions" sheetId="18" r:id="rId14"/>
  </sheets>
  <definedNames>
    <definedName name="_xleta.NOT" hidden="1" xlm="1">#NAME?</definedName>
    <definedName name="Coating_Adder">SAP_STD_CONDUCTORS!$A$1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2" l="1"/>
</calcChain>
</file>

<file path=xl/sharedStrings.xml><?xml version="1.0" encoding="utf-8"?>
<sst xmlns="http://schemas.openxmlformats.org/spreadsheetml/2006/main" count="1601" uniqueCount="488">
  <si>
    <t>Crepe</t>
  </si>
  <si>
    <t>Material</t>
  </si>
  <si>
    <t>Conductor</t>
  </si>
  <si>
    <t>Code</t>
  </si>
  <si>
    <t>Type</t>
  </si>
  <si>
    <t>Aluminum</t>
  </si>
  <si>
    <t>Copper</t>
  </si>
  <si>
    <t>Shape</t>
  </si>
  <si>
    <t>Circular</t>
  </si>
  <si>
    <t>Rectangular</t>
  </si>
  <si>
    <t>Insulation</t>
  </si>
  <si>
    <t>Kraft</t>
  </si>
  <si>
    <t>Strip</t>
  </si>
  <si>
    <t>Total_cost_per_lb</t>
  </si>
  <si>
    <t>Factor_cost_per_kg</t>
  </si>
  <si>
    <t>5KP</t>
  </si>
  <si>
    <t>2KP</t>
  </si>
  <si>
    <t>10KP</t>
  </si>
  <si>
    <t>Core</t>
  </si>
  <si>
    <t>Full_thickness_in</t>
  </si>
  <si>
    <t>Ins_Width_in</t>
  </si>
  <si>
    <t>510HC</t>
  </si>
  <si>
    <t>SAP_Name</t>
  </si>
  <si>
    <t>072X144HMF</t>
  </si>
  <si>
    <t>081X162HMF</t>
  </si>
  <si>
    <t>091X182HMF</t>
  </si>
  <si>
    <t>102X204HMF</t>
  </si>
  <si>
    <t>114X229HMF</t>
  </si>
  <si>
    <t>102X306HMF</t>
  </si>
  <si>
    <t>128X256HMF</t>
  </si>
  <si>
    <t>128X325HMF</t>
  </si>
  <si>
    <t>28HMF</t>
  </si>
  <si>
    <t>27HMF</t>
  </si>
  <si>
    <t>26HMF</t>
  </si>
  <si>
    <t>25HMF</t>
  </si>
  <si>
    <t>24HMF</t>
  </si>
  <si>
    <t>23HMF</t>
  </si>
  <si>
    <t>22HMF</t>
  </si>
  <si>
    <t>21HMF</t>
  </si>
  <si>
    <t>20HMF</t>
  </si>
  <si>
    <t>19HMF</t>
  </si>
  <si>
    <t>18HMF</t>
  </si>
  <si>
    <t>17HMF</t>
  </si>
  <si>
    <t>16HMF</t>
  </si>
  <si>
    <t>15HMF</t>
  </si>
  <si>
    <t>14HMF</t>
  </si>
  <si>
    <t>13HMF</t>
  </si>
  <si>
    <t>12.5HMF</t>
  </si>
  <si>
    <t>12HMF</t>
  </si>
  <si>
    <t>11.5HMF</t>
  </si>
  <si>
    <t>11HMF</t>
  </si>
  <si>
    <t>10.5HMF</t>
  </si>
  <si>
    <t>10HMF</t>
  </si>
  <si>
    <t>144X289HMF</t>
  </si>
  <si>
    <t>144X325HMF</t>
  </si>
  <si>
    <t>144X365HMF</t>
  </si>
  <si>
    <t>128X460HMF</t>
  </si>
  <si>
    <t>144X410HMF</t>
  </si>
  <si>
    <t>162X460HMF</t>
  </si>
  <si>
    <t>19HFA</t>
  </si>
  <si>
    <t>18HFA</t>
  </si>
  <si>
    <t>17HFA</t>
  </si>
  <si>
    <t>16HFA</t>
  </si>
  <si>
    <t>15HFA</t>
  </si>
  <si>
    <t>14HFA</t>
  </si>
  <si>
    <t>13HFA</t>
  </si>
  <si>
    <t>12.5HFA</t>
  </si>
  <si>
    <t>12HFA</t>
  </si>
  <si>
    <t>11.5HFA</t>
  </si>
  <si>
    <t>11HFA</t>
  </si>
  <si>
    <t>10.5HFA</t>
  </si>
  <si>
    <t>10HFA</t>
  </si>
  <si>
    <t>9HFA</t>
  </si>
  <si>
    <t>116X300HFA</t>
  </si>
  <si>
    <t>102X204HFA</t>
  </si>
  <si>
    <t>114X229HFA</t>
  </si>
  <si>
    <t>102X306HFA</t>
  </si>
  <si>
    <t>128X256HFA</t>
  </si>
  <si>
    <t>128X325HFA</t>
  </si>
  <si>
    <t>144X289HFA</t>
  </si>
  <si>
    <t>144X325HFA</t>
  </si>
  <si>
    <t>144X365HFA</t>
  </si>
  <si>
    <t>128X460HFA</t>
  </si>
  <si>
    <t>144X410HFA</t>
  </si>
  <si>
    <t>162X460HFA</t>
  </si>
  <si>
    <t>Pressboard</t>
  </si>
  <si>
    <t>8PB</t>
  </si>
  <si>
    <t>16PB</t>
  </si>
  <si>
    <t>Pressboard_HD</t>
  </si>
  <si>
    <t>4PB_HD</t>
  </si>
  <si>
    <t>Duct</t>
  </si>
  <si>
    <t>316DUCT</t>
  </si>
  <si>
    <t>4DUCT</t>
  </si>
  <si>
    <t>8DUCT</t>
  </si>
  <si>
    <t>NA</t>
  </si>
  <si>
    <t>MOH</t>
  </si>
  <si>
    <t>Lead</t>
  </si>
  <si>
    <t>011CU</t>
  </si>
  <si>
    <t>050X3SCU</t>
  </si>
  <si>
    <t>052CU</t>
  </si>
  <si>
    <t>050X4SCU</t>
  </si>
  <si>
    <t>047X2AL</t>
  </si>
  <si>
    <t>090X2AL</t>
  </si>
  <si>
    <t>063X3AL</t>
  </si>
  <si>
    <t>079X4AL</t>
  </si>
  <si>
    <t>Fab_cost_per_kg-SAP</t>
  </si>
  <si>
    <t>Total_cost_per_lb- SAP</t>
  </si>
  <si>
    <t>DEADFRONT</t>
  </si>
  <si>
    <t>BUSHING_WELL</t>
  </si>
  <si>
    <t>BUSHING_INSERT</t>
  </si>
  <si>
    <t>BW150R</t>
  </si>
  <si>
    <t>EATON</t>
  </si>
  <si>
    <t>CM70191972</t>
  </si>
  <si>
    <t>HJ</t>
  </si>
  <si>
    <t>Max_Amps</t>
  </si>
  <si>
    <t>Max_BIL_kV</t>
  </si>
  <si>
    <t>Class_kV</t>
  </si>
  <si>
    <t>Supplier</t>
  </si>
  <si>
    <t>LOADBREAK</t>
  </si>
  <si>
    <t>LS2R338H1N1A</t>
  </si>
  <si>
    <t>BUSHING_INTEGRAL</t>
  </si>
  <si>
    <t>LB235B150</t>
  </si>
  <si>
    <t>LBI225BP</t>
  </si>
  <si>
    <t>LBI215BP</t>
  </si>
  <si>
    <t>EPC10-014-500E07T</t>
  </si>
  <si>
    <t>EPC10-014-501E01T-03</t>
  </si>
  <si>
    <t>EPC10-014-502E01T-03</t>
  </si>
  <si>
    <t>EPC10-014-503E01T-03</t>
  </si>
  <si>
    <t>EPC10-014-504E01T-03</t>
  </si>
  <si>
    <t>EPC10-014-511</t>
  </si>
  <si>
    <t>EPC10-014-512E01T-03</t>
  </si>
  <si>
    <t>EPC10-014-600E01T</t>
  </si>
  <si>
    <t>EPC10-014-601E01T-01</t>
  </si>
  <si>
    <t>EPC10-014-601E01T-03</t>
  </si>
  <si>
    <t>EPC10-014-602E01T-03</t>
  </si>
  <si>
    <t>EPC10-014-603E01T-03</t>
  </si>
  <si>
    <t>EPC10-014-604E01T-03</t>
  </si>
  <si>
    <t>EPC10-014-612E01T-03</t>
  </si>
  <si>
    <t>4000353C14</t>
  </si>
  <si>
    <t>4000353C16</t>
  </si>
  <si>
    <t>4000353C17</t>
  </si>
  <si>
    <t>4000358C03</t>
  </si>
  <si>
    <t>4000358C05</t>
  </si>
  <si>
    <t>4000358C06</t>
  </si>
  <si>
    <t>4000358C08</t>
  </si>
  <si>
    <t>4000358C10</t>
  </si>
  <si>
    <t>4000358C12</t>
  </si>
  <si>
    <t>4000358C14</t>
  </si>
  <si>
    <t>4000361C89FV</t>
  </si>
  <si>
    <t>4000361C99FV</t>
  </si>
  <si>
    <t>4038108C04B</t>
  </si>
  <si>
    <t>4038108C05B</t>
  </si>
  <si>
    <t>4038108C06B</t>
  </si>
  <si>
    <t>4038108C07B</t>
  </si>
  <si>
    <t>4038108C09B</t>
  </si>
  <si>
    <t>4038108C11B</t>
  </si>
  <si>
    <t>CBUC08030C100</t>
  </si>
  <si>
    <t>CBUC08040C100</t>
  </si>
  <si>
    <t>CBUC08050C100</t>
  </si>
  <si>
    <t>CBUC08065C100</t>
  </si>
  <si>
    <t>CBUC08080C100</t>
  </si>
  <si>
    <t>CBUC08100C100</t>
  </si>
  <si>
    <t>CBUC08125C100</t>
  </si>
  <si>
    <t>CBUC08150D100</t>
  </si>
  <si>
    <t>CBUC08165D100</t>
  </si>
  <si>
    <t>CBUC15030C100</t>
  </si>
  <si>
    <t>CBUC15040C100</t>
  </si>
  <si>
    <t>CBUC15050C100</t>
  </si>
  <si>
    <t>CBUC15065C100</t>
  </si>
  <si>
    <t>CBUC15080C100</t>
  </si>
  <si>
    <t>CBUC15100C100</t>
  </si>
  <si>
    <t>CBUC15125C100</t>
  </si>
  <si>
    <t>CBUC15150D100</t>
  </si>
  <si>
    <t>CBUC15165D100</t>
  </si>
  <si>
    <t>CBUC17040C100</t>
  </si>
  <si>
    <t>CBUC17050C100</t>
  </si>
  <si>
    <t>CBUC17065C100</t>
  </si>
  <si>
    <t>CBUC23030C100</t>
  </si>
  <si>
    <t>CBUC23040C100</t>
  </si>
  <si>
    <t>CBUC23050C100</t>
  </si>
  <si>
    <t>CBUC23065C100</t>
  </si>
  <si>
    <t>CBUC23080C100</t>
  </si>
  <si>
    <t>CBUC23100C100</t>
  </si>
  <si>
    <t>CBUC23125D100</t>
  </si>
  <si>
    <t>CBUC23150D100</t>
  </si>
  <si>
    <t>CBUC23165D100</t>
  </si>
  <si>
    <t>Internal Holes</t>
  </si>
  <si>
    <t>External Holes</t>
  </si>
  <si>
    <t>COMPONENT</t>
  </si>
  <si>
    <t>TAPCHANGER</t>
  </si>
  <si>
    <t>ROTARY</t>
  </si>
  <si>
    <t>1L0122505BG1-000-00</t>
  </si>
  <si>
    <t>Mounting</t>
  </si>
  <si>
    <t>Horizontal</t>
  </si>
  <si>
    <t>Qswitch</t>
  </si>
  <si>
    <t>LIVEFRONT</t>
  </si>
  <si>
    <t>BUSHING_PORCELAIN</t>
  </si>
  <si>
    <t>N/A</t>
  </si>
  <si>
    <t>Vertical</t>
  </si>
  <si>
    <t>Positions</t>
  </si>
  <si>
    <t>SWITCH</t>
  </si>
  <si>
    <t>17P0048B</t>
  </si>
  <si>
    <t>17P0048L</t>
  </si>
  <si>
    <t>PTI</t>
  </si>
  <si>
    <t>17P0021D</t>
  </si>
  <si>
    <t>17P0021E</t>
  </si>
  <si>
    <t>BUSHING_PORCELAIN_LONG</t>
  </si>
  <si>
    <t>17P0031H</t>
  </si>
  <si>
    <t>BUSHING_PORCELAIN_SHORT</t>
  </si>
  <si>
    <t>17P0078A</t>
  </si>
  <si>
    <t>LV_BUSHING_PORCELAIN</t>
  </si>
  <si>
    <t>WARCO</t>
  </si>
  <si>
    <t>BAYONET_FUSE</t>
  </si>
  <si>
    <t>CURRENT_SENSING</t>
  </si>
  <si>
    <t>DUAL_SENSING</t>
  </si>
  <si>
    <t>DUAL_ELEMENT</t>
  </si>
  <si>
    <t>CURRENT_LIMITING_FUSE</t>
  </si>
  <si>
    <t>CURRENT_LIMITING</t>
  </si>
  <si>
    <t>CAD price</t>
  </si>
  <si>
    <t>FUSE_HOLDER</t>
  </si>
  <si>
    <t>BAYONET_FUSE_HOLDER</t>
  </si>
  <si>
    <t>Last_price_date</t>
  </si>
  <si>
    <t>2237179C01M</t>
  </si>
  <si>
    <t>2237472C01M</t>
  </si>
  <si>
    <t>2237500C03</t>
  </si>
  <si>
    <t>2237947A302H</t>
  </si>
  <si>
    <t>TAPCHANGER_HARDWARE</t>
  </si>
  <si>
    <t>HOTSTICK_HANDLE_KIT</t>
  </si>
  <si>
    <t>Both</t>
  </si>
  <si>
    <t>Contacts</t>
  </si>
  <si>
    <t>Dial_in</t>
  </si>
  <si>
    <t>19A0027</t>
  </si>
  <si>
    <t>THERMOMETER</t>
  </si>
  <si>
    <t>Qualitrol</t>
  </si>
  <si>
    <t>19A0036A</t>
  </si>
  <si>
    <t>LIQUID_LEVEL_GAUGE</t>
  </si>
  <si>
    <t>Weidmann</t>
  </si>
  <si>
    <t>19A0071Q</t>
  </si>
  <si>
    <t>19A0083</t>
  </si>
  <si>
    <t>PRESSURE_VAC_DEVICE</t>
  </si>
  <si>
    <t>19A0086</t>
  </si>
  <si>
    <t>PRESSURE_RELIEF_DEVICE</t>
  </si>
  <si>
    <t>19A0087</t>
  </si>
  <si>
    <t>19A0087Q</t>
  </si>
  <si>
    <t>19A0094</t>
  </si>
  <si>
    <t>VALVE</t>
  </si>
  <si>
    <t>19A0265</t>
  </si>
  <si>
    <t>19-0258</t>
  </si>
  <si>
    <t>RTD_SENSOR</t>
  </si>
  <si>
    <t>19A0076</t>
  </si>
  <si>
    <t>PRESSURE_RELIEF_VALVE</t>
  </si>
  <si>
    <t>19A0072</t>
  </si>
  <si>
    <t>19A0072Q</t>
  </si>
  <si>
    <t>19A0073Q</t>
  </si>
  <si>
    <t>19A0074Q</t>
  </si>
  <si>
    <t>17A0140</t>
  </si>
  <si>
    <t>LV_BUSHING_TRICLAMP</t>
  </si>
  <si>
    <t>45A0005574</t>
  </si>
  <si>
    <t>45A0005575</t>
  </si>
  <si>
    <t>45A0005576</t>
  </si>
  <si>
    <t>Shank_in</t>
  </si>
  <si>
    <t>Diam_Thread_in</t>
  </si>
  <si>
    <t>1235-1</t>
  </si>
  <si>
    <t>1235-2</t>
  </si>
  <si>
    <t>1081-2</t>
  </si>
  <si>
    <t>1081-3</t>
  </si>
  <si>
    <t>1.125-12</t>
  </si>
  <si>
    <t>1082-1</t>
  </si>
  <si>
    <t>1.25-12</t>
  </si>
  <si>
    <t>1082-2</t>
  </si>
  <si>
    <t>1.5-12</t>
  </si>
  <si>
    <t>1082-56</t>
  </si>
  <si>
    <t>1.625-12</t>
  </si>
  <si>
    <t>1082-3</t>
  </si>
  <si>
    <t>1.75-12</t>
  </si>
  <si>
    <t>1082-4</t>
  </si>
  <si>
    <t>1082-5</t>
  </si>
  <si>
    <t>2.125-12</t>
  </si>
  <si>
    <t>0763-0</t>
  </si>
  <si>
    <t>0763-1</t>
  </si>
  <si>
    <t>0765-30</t>
  </si>
  <si>
    <t>KENALLOY</t>
  </si>
  <si>
    <t>0.625-11</t>
  </si>
  <si>
    <t>SPADE</t>
  </si>
  <si>
    <t>INLINE</t>
  </si>
  <si>
    <t>RECTANGULAR_FLAT</t>
  </si>
  <si>
    <t>IFD_ORCA_10PSI-A</t>
  </si>
  <si>
    <t>IFD_ORCA_45KPA-A</t>
  </si>
  <si>
    <t>INTERNAL_FAULT_DETECTOR</t>
  </si>
  <si>
    <t>IFD_Tech</t>
  </si>
  <si>
    <t>Price (CAD)</t>
  </si>
  <si>
    <t>Last Purchase Date</t>
  </si>
  <si>
    <t>SAP Name</t>
  </si>
  <si>
    <t>Component</t>
  </si>
  <si>
    <t>Quantity</t>
  </si>
  <si>
    <t>Total Price</t>
  </si>
  <si>
    <t>Total Item Price</t>
  </si>
  <si>
    <t>x</t>
  </si>
  <si>
    <t>SPI-1-3 R0</t>
  </si>
  <si>
    <t>Lifting Plate</t>
  </si>
  <si>
    <t>0.135 Mild Steel Sheet, A569</t>
  </si>
  <si>
    <t>*S</t>
  </si>
  <si>
    <t>SPI-2-2 R0</t>
  </si>
  <si>
    <t>Shackle</t>
  </si>
  <si>
    <t>0.120 Stainless Steel, GR 304</t>
  </si>
  <si>
    <t>SPI-4-2 R0</t>
  </si>
  <si>
    <t>Parking Stand</t>
  </si>
  <si>
    <t>0.075 Mild Steel Sheet, A36</t>
  </si>
  <si>
    <t>SPI-5-2 R1</t>
  </si>
  <si>
    <t>Locking Plate</t>
  </si>
  <si>
    <t>0.048 Mild Steel Sheet, A36/44W</t>
  </si>
  <si>
    <t>SPI-6-2 R0</t>
  </si>
  <si>
    <t>Hinge Plate Long</t>
  </si>
  <si>
    <t>0.135 Mild Steel Sheet, A36</t>
  </si>
  <si>
    <t>SPI-7-7 R0</t>
  </si>
  <si>
    <t>Hinge Plate Short</t>
  </si>
  <si>
    <t>SPI-9-2 R0</t>
  </si>
  <si>
    <t>Drip Tray</t>
  </si>
  <si>
    <t>0.075 Mild Steel Sheet, A569</t>
  </si>
  <si>
    <t>SPI-11-2 R0</t>
  </si>
  <si>
    <t>Grounding Spade</t>
  </si>
  <si>
    <t>0.135 Stainless Steel, Gr. 304</t>
  </si>
  <si>
    <t>SPI-12-2 R0</t>
  </si>
  <si>
    <t>Plate</t>
  </si>
  <si>
    <t>0.105 Mild Steel Sheet, A569</t>
  </si>
  <si>
    <t>SPI-14-2 R0</t>
  </si>
  <si>
    <t>Corner Plate</t>
  </si>
  <si>
    <t>0.105 Mild Steel Sheet, A570, Gr 36</t>
  </si>
  <si>
    <t>SPI-27-5 R0</t>
  </si>
  <si>
    <t>0.250 Mild Steel Sheet, A570, Gr 36</t>
  </si>
  <si>
    <t>SPI-32-2 R0</t>
  </si>
  <si>
    <t>Fuse Support</t>
  </si>
  <si>
    <t>0.103 Mild Steel Sheet, A36</t>
  </si>
  <si>
    <t>SPI-34-2 R0</t>
  </si>
  <si>
    <t>Foundation Clamp</t>
  </si>
  <si>
    <t>0.250 Mild Steel Plate, A36</t>
  </si>
  <si>
    <t>SPI-35-2 R0</t>
  </si>
  <si>
    <t>Washer</t>
  </si>
  <si>
    <t>0.109 Mild Steel Sheet, A569</t>
  </si>
  <si>
    <t>SPI-119-2 R0</t>
  </si>
  <si>
    <t>Blanking Plate</t>
  </si>
  <si>
    <t>SPI-120-2 R0</t>
  </si>
  <si>
    <t>Boss Plate</t>
  </si>
  <si>
    <t>1WF</t>
  </si>
  <si>
    <t>SPI-25-3</t>
  </si>
  <si>
    <t>Weld Boss</t>
  </si>
  <si>
    <t>14114SST</t>
  </si>
  <si>
    <t>38112SST</t>
  </si>
  <si>
    <t>FW5G12JS</t>
  </si>
  <si>
    <t>Flat Washer</t>
  </si>
  <si>
    <t>FW316G38SS</t>
  </si>
  <si>
    <t>FW5G38JS</t>
  </si>
  <si>
    <t>HN316G38UNCSS</t>
  </si>
  <si>
    <t>H-J International Inc.</t>
  </si>
  <si>
    <t>Apex Distribution Inc.</t>
  </si>
  <si>
    <t>Weld Stud</t>
  </si>
  <si>
    <t>Western Stud Welding Supply</t>
  </si>
  <si>
    <t>Regina Fasteners &amp; Tools Inc.</t>
  </si>
  <si>
    <t>Hex Nut</t>
  </si>
  <si>
    <t>STEEL  &amp; OIL - kVA 167</t>
  </si>
  <si>
    <t>Hi-Tec &amp; Lubricon</t>
  </si>
  <si>
    <t>STEEL  &amp; OIL - kVA 100</t>
  </si>
  <si>
    <t>STEEL  &amp; OIL - kVA 75</t>
  </si>
  <si>
    <t>STEEL  &amp; OIL - kVA 50</t>
  </si>
  <si>
    <t>STEEL  &amp; OIL - kVA 37.5</t>
  </si>
  <si>
    <t>STEEL  &amp; OIL - kVA 25</t>
  </si>
  <si>
    <t>REVISIONS:</t>
  </si>
  <si>
    <t xml:space="preserve">R1, R2, R3 </t>
  </si>
  <si>
    <t xml:space="preserve">Not released revisions, in works versions with many updates </t>
  </si>
  <si>
    <t>ZG</t>
  </si>
  <si>
    <t>By:</t>
  </si>
  <si>
    <t>Date:</t>
  </si>
  <si>
    <t>1/8/2026</t>
  </si>
  <si>
    <t>Am HB1</t>
  </si>
  <si>
    <t>Optimizer</t>
  </si>
  <si>
    <t>3ALFRE</t>
  </si>
  <si>
    <t>Cooper</t>
  </si>
  <si>
    <t>R4</t>
  </si>
  <si>
    <t>1/9/2026</t>
  </si>
  <si>
    <t>Added CC-Mercury page</t>
  </si>
  <si>
    <t>Last_price_date	Material</t>
  </si>
  <si>
    <t>Type2</t>
  </si>
  <si>
    <t>15CUBAR</t>
  </si>
  <si>
    <t>Bar</t>
  </si>
  <si>
    <t>2ALFRE</t>
  </si>
  <si>
    <t>2CUBAR</t>
  </si>
  <si>
    <t>3CUBAR</t>
  </si>
  <si>
    <t>4ALFRE</t>
  </si>
  <si>
    <t>4CUBAR</t>
  </si>
  <si>
    <t>0931CU</t>
  </si>
  <si>
    <t>17P0048M</t>
  </si>
  <si>
    <t>17P0099A</t>
  </si>
  <si>
    <t>17P0099B</t>
  </si>
  <si>
    <t>17P0099C</t>
  </si>
  <si>
    <t>17P0106A</t>
  </si>
  <si>
    <t>17P0101A</t>
  </si>
  <si>
    <t>17P0101B</t>
  </si>
  <si>
    <t>17P0101C</t>
  </si>
  <si>
    <t>17P0031D</t>
  </si>
  <si>
    <t>17P0078C</t>
  </si>
  <si>
    <t>17P0078D</t>
  </si>
  <si>
    <t>17P0100A</t>
  </si>
  <si>
    <t>17P0100B</t>
  </si>
  <si>
    <t>17P0100C</t>
  </si>
  <si>
    <t>EPC10-042-005E01T-01</t>
  </si>
  <si>
    <t>EPC10-512-000E011-01</t>
  </si>
  <si>
    <t>EPC10-512-001E01T-01</t>
  </si>
  <si>
    <t>EPC10-512-002E01T-01</t>
  </si>
  <si>
    <t>EPC10-512-003E01T-01</t>
  </si>
  <si>
    <t>EPC10-512-004E01T-01</t>
  </si>
  <si>
    <t>EPC10-512-006E01T-01</t>
  </si>
  <si>
    <t>EPC10-512-102E01T-01</t>
  </si>
  <si>
    <t>EPC10-512-008E01T-01</t>
  </si>
  <si>
    <t>EPC10-513-900E01T-01</t>
  </si>
  <si>
    <t>EPC10-513-901E01T-01</t>
  </si>
  <si>
    <t>EPC10-513-902E01T-01</t>
  </si>
  <si>
    <t>EPC10-513-903E01T-01</t>
  </si>
  <si>
    <t>EPC10-513-904E01T-01</t>
  </si>
  <si>
    <t>EPC10-513-906E01T-01</t>
  </si>
  <si>
    <t>EPC10-513-908E01T-01</t>
  </si>
  <si>
    <t>EPC10-505-110E07T-01</t>
  </si>
  <si>
    <t>EPC10-511-103 (002)</t>
  </si>
  <si>
    <t>EPC10-511-105E01T-01</t>
  </si>
  <si>
    <t>EPC10-042-000E01T-01</t>
  </si>
  <si>
    <t>EPC10-042-001E01T-01</t>
  </si>
  <si>
    <t>EPC10-042-002E01T-01</t>
  </si>
  <si>
    <t>EPC10-042-003E01T-01</t>
  </si>
  <si>
    <t>EPC10-042-004E01T-01</t>
  </si>
  <si>
    <t>EPC10-042-006E01T-01</t>
  </si>
  <si>
    <t>EPC10-500-037</t>
  </si>
  <si>
    <t>FOSTORIA</t>
  </si>
  <si>
    <t>45A03172‐4</t>
  </si>
  <si>
    <t>45A03173‐2</t>
  </si>
  <si>
    <t>45A03174‐3</t>
  </si>
  <si>
    <t>45A0005577</t>
  </si>
  <si>
    <t>45A03175‐3</t>
  </si>
  <si>
    <t>45A0005578</t>
  </si>
  <si>
    <t>45A03176‐2</t>
  </si>
  <si>
    <t>45A0005579</t>
  </si>
  <si>
    <t>45A03177‐4</t>
  </si>
  <si>
    <t>45A0005580</t>
  </si>
  <si>
    <t>45A03178‐3</t>
  </si>
  <si>
    <t>45A0005581</t>
  </si>
  <si>
    <t>45A03179‐1</t>
  </si>
  <si>
    <t>39A03064-2</t>
  </si>
  <si>
    <t>CBUC08180D100</t>
  </si>
  <si>
    <t>CBUC08250D100</t>
  </si>
  <si>
    <t>CBUC15180D100</t>
  </si>
  <si>
    <t>CBUC35150D100</t>
  </si>
  <si>
    <t>CBUC38050D100</t>
  </si>
  <si>
    <t>CBUC38065D100</t>
  </si>
  <si>
    <t>CBUC38080D100</t>
  </si>
  <si>
    <t>CBUC38100D100</t>
  </si>
  <si>
    <t>CBUC38120D100</t>
  </si>
  <si>
    <t>CBUC38140D100</t>
  </si>
  <si>
    <t>4000353C04</t>
  </si>
  <si>
    <t>4000353C06</t>
  </si>
  <si>
    <t>4000353C08</t>
  </si>
  <si>
    <t>4000353C10</t>
  </si>
  <si>
    <t>4000353C12</t>
  </si>
  <si>
    <t>4038108C03B</t>
  </si>
  <si>
    <t>4000358C16CB</t>
  </si>
  <si>
    <t>4000358C18CB</t>
  </si>
  <si>
    <t>4000380C06CB</t>
  </si>
  <si>
    <t>4000380C08CB</t>
  </si>
  <si>
    <t>4000380C10CB</t>
  </si>
  <si>
    <t>4000380C11CB</t>
  </si>
  <si>
    <t>4000380C12CB</t>
  </si>
  <si>
    <t>4000380C14CB</t>
  </si>
  <si>
    <t>4038380B03M</t>
  </si>
  <si>
    <t>FUSE_ACCESSORY</t>
  </si>
  <si>
    <t>4038361C04CB</t>
  </si>
  <si>
    <t>OVERLOAD</t>
  </si>
  <si>
    <t>4038361C05CB</t>
  </si>
  <si>
    <t>Suppliet</t>
  </si>
  <si>
    <t>Part_No_Rev</t>
  </si>
  <si>
    <t>Description</t>
  </si>
  <si>
    <t>Qty*Wt</t>
  </si>
  <si>
    <t>Wt*Lb</t>
  </si>
  <si>
    <t>Issue</t>
  </si>
  <si>
    <t>SUPPLIER</t>
  </si>
  <si>
    <t>Weld Flange 1"" NPT</t>
  </si>
  <si>
    <t>Mild Steel (204 lbs) &amp; Crosstrans 206 (385 liters), TWt (435 kg)</t>
  </si>
  <si>
    <t>Mild Steel (187 lbs) &amp; Crosstrans 206 (331 liters), TWt (379 kg)</t>
  </si>
  <si>
    <t>Mild Steel (176 lbs) &amp; Crosstrans 206 (297 liters), TWt (344 kg)</t>
  </si>
  <si>
    <t>Mild Steel (171 lbs) &amp; Crosstrans 206 (263 liters), TWt (312 kg)</t>
  </si>
  <si>
    <t>Mild Steel (159 lbs) &amp; Crosstrans 206 (216 liters), TWt (264 kg)</t>
  </si>
  <si>
    <t>Mild Steel (157 lbs) &amp; Crosstrans 206 (217 liters), TWt (264 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</si>
</sst>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00"/>
  </numFmts>
  <fonts count="24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Helv"/>
    </font>
    <font>
      <sz val="10"/>
      <name val="Geneva"/>
      <family val="2"/>
      <charset val="1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sz val="12"/>
      <color rgb="FFFF0000"/>
      <name val="Aptos Display"/>
      <family val="2"/>
      <scheme val="major"/>
    </font>
    <font>
      <sz val="20"/>
      <color rgb="FF000000"/>
      <name val="Aptos Display"/>
      <family val="2"/>
    </font>
    <font>
      <sz val="12"/>
      <color rgb="FF000000"/>
      <name val="Aptos Display"/>
      <family val="2"/>
    </font>
    <font>
      <sz val="14"/>
      <color rgb="FF000000"/>
      <name val="Aptos Display"/>
      <family val="2"/>
    </font>
    <font>
      <sz val="12"/>
      <color theme="0" tint="-0.249977111117893"/>
      <name val="Aptos"/>
      <family val="2"/>
    </font>
    <font>
      <sz val="12"/>
      <color rgb="FF000000"/>
      <name val="Aptos"/>
      <family val="2"/>
    </font>
    <font>
      <sz val="12"/>
      <name val="Aptos"/>
      <family val="2"/>
    </font>
    <font>
      <sz val="11"/>
      <color theme="1"/>
      <name val="Aptos"/>
      <family val="2"/>
    </font>
    <font>
      <b/>
      <sz val="14"/>
      <color rgb="FFFFFF00"/>
      <name val="Aptos"/>
      <family val="2"/>
    </font>
    <font>
      <b/>
      <sz val="14"/>
      <color theme="0"/>
      <name val="Aptos"/>
      <family val="2"/>
    </font>
    <font>
      <sz val="12"/>
      <color theme="1"/>
      <name val="Aptos"/>
      <family val="2"/>
    </font>
    <font>
      <b/>
      <sz val="16"/>
      <color theme="1"/>
      <name val="Aptos"/>
      <family val="2"/>
    </font>
    <font>
      <b/>
      <sz val="11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7C7AC"/>
        <bgColor indexed="64"/>
      </patternFill>
    </fill>
    <fill>
      <patternFill patternType="solid">
        <fgColor rgb="FFDD9EE4"/>
        <bgColor indexed="64"/>
      </patternFill>
    </fill>
  </fills>
  <borders count="9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</cellStyleXfs>
  <cellXfs count="86">
    <xf numFmtId="0" fontId="0" fillId="0" borderId="0" xfId="0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4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2" fontId="6" fillId="2" borderId="2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/>
    <xf numFmtId="2" fontId="6" fillId="0" borderId="2" xfId="0" applyNumberFormat="1" applyFont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0" fontId="4" fillId="3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horizontal="left" vertical="center" wrapText="1"/>
    </xf>
    <xf numFmtId="0" fontId="4" fillId="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/>
    <xf numFmtId="0" fontId="0" fillId="4" borderId="2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2" fontId="6" fillId="4" borderId="2" xfId="0" applyNumberFormat="1" applyFont="1" applyFill="1" applyBorder="1" applyAlignment="1">
      <alignment horizontal="center"/>
    </xf>
    <xf numFmtId="14" fontId="4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8" fillId="2" borderId="2" xfId="0" applyNumberFormat="1" applyFont="1" applyFill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9" fillId="7" borderId="0" xfId="0" applyFont="1" applyFill="1" applyAlignment="1">
      <alignment horizontal="left"/>
    </xf>
    <xf numFmtId="0" fontId="10" fillId="7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0" borderId="2" xfId="0" applyFont="1" applyBorder="1" applyAlignment="1">
      <alignment horizontal="center" vertical="center"/>
    </xf>
    <xf numFmtId="1" fontId="16" fillId="0" borderId="4" xfId="0" applyNumberFormat="1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wrapText="1"/>
    </xf>
    <xf numFmtId="164" fontId="16" fillId="0" borderId="6" xfId="0" applyNumberFormat="1" applyFont="1" applyBorder="1" applyAlignment="1">
      <alignment horizontal="center" vertical="center" shrinkToFit="1"/>
    </xf>
    <xf numFmtId="164" fontId="16" fillId="0" borderId="5" xfId="0" applyNumberFormat="1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wrapText="1"/>
    </xf>
    <xf numFmtId="0" fontId="18" fillId="0" borderId="0" xfId="0" applyFont="1"/>
    <xf numFmtId="0" fontId="19" fillId="3" borderId="2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 vertical="center"/>
    </xf>
    <xf numFmtId="0" fontId="22" fillId="6" borderId="2" xfId="0" applyFont="1" applyFill="1" applyBorder="1" applyAlignment="1">
      <alignment horizontal="center" vertical="center"/>
    </xf>
    <xf numFmtId="0" fontId="22" fillId="8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 vertical="center"/>
    </xf>
    <xf numFmtId="0" fontId="23" fillId="9" borderId="2" xfId="0" applyFont="1" applyFill="1" applyBorder="1" applyAlignment="1">
      <alignment horizontal="center" vertical="center" wrapText="1"/>
    </xf>
    <xf numFmtId="0" fontId="23" fillId="10" borderId="2" xfId="0" applyFont="1" applyFill="1" applyBorder="1" applyAlignment="1">
      <alignment horizontal="center" vertical="center" wrapText="1"/>
    </xf>
    <xf numFmtId="0" fontId="23" fillId="11" borderId="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4" borderId="7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2" fontId="6" fillId="4" borderId="8" xfId="0" applyNumberFormat="1" applyFont="1" applyFill="1" applyBorder="1" applyAlignment="1">
      <alignment horizontal="center"/>
    </xf>
    <xf numFmtId="14" fontId="15" fillId="0" borderId="2" xfId="0" applyNumberFormat="1" applyFont="1" applyBorder="1" applyAlignment="1">
      <alignment horizontal="center" vertical="center"/>
    </xf>
  </cellXfs>
  <cellStyles count="5">
    <cellStyle name="Currency 2" xfId="2" xr:uid="{A97228D4-8413-48D0-9EDA-2F105B19151D}"/>
    <cellStyle name="Normal" xfId="0" builtinId="0"/>
    <cellStyle name="Normal 2" xfId="4" xr:uid="{34DA3E02-688F-4490-B5F6-5B47B3970CD1}"/>
    <cellStyle name="Normal 3" xfId="1" xr:uid="{0ACE25E4-CE1C-4C60-BAD1-345A9CD56905}"/>
    <cellStyle name="Percent 2" xfId="3" xr:uid="{003C19C2-FF2C-4D57-B9AE-3F8748D7D6ED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dotted">
          <color indexed="64"/>
        </left>
        <right style="dotted">
          <color indexed="64"/>
        </right>
      </border>
    </dxf>
    <dxf>
      <fill>
        <patternFill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5" formatCode="yyyy/mm/dd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dotted">
          <color indexed="64"/>
        </left>
        <right style="dotted">
          <color indexed="64"/>
        </right>
      </border>
    </dxf>
    <dxf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FF99"/>
      <color rgb="FFCCD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10</xdr:row>
          <xdr:rowOff>95250</xdr:rowOff>
        </xdr:from>
        <xdr:to>
          <xdr:col>10</xdr:col>
          <xdr:colOff>2466975</xdr:colOff>
          <xdr:row>19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Display"/>
                </a:rPr>
                <a:t>CLICK HERE!</a:t>
              </a:r>
              <a:endParaRPr lang="en-US" sz="2000" b="0" i="0" u="none" strike="noStrike" baseline="0">
                <a:solidFill>
                  <a:srgbClr val="000000"/>
                </a:solidFill>
                <a:latin typeface="Aptos Display"/>
              </a:endParaRP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Save Bill of Materials </a:t>
              </a:r>
              <a:r>
                <a:rPr lang="en-US" sz="1200" b="0" i="0" u="none" strike="noStrike" baseline="0">
                  <a:solidFill>
                    <a:srgbClr val="000000"/>
                  </a:solidFill>
                  <a:latin typeface="Aptos Display"/>
                </a:rPr>
                <a:t>(BOM)</a:t>
              </a:r>
              <a:endParaRPr lang="en-US" sz="2000" b="0" i="0" u="none" strike="noStrike" baseline="0">
                <a:solidFill>
                  <a:srgbClr val="000000"/>
                </a:solidFill>
                <a:latin typeface="Aptos Display"/>
              </a:endParaRP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&amp;</a:t>
              </a:r>
            </a:p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ptos Display"/>
                </a:rPr>
                <a:t>Reset Template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126755</xdr:colOff>
      <xdr:row>0</xdr:row>
      <xdr:rowOff>306265</xdr:rowOff>
    </xdr:from>
    <xdr:to>
      <xdr:col>9</xdr:col>
      <xdr:colOff>3753582</xdr:colOff>
      <xdr:row>8</xdr:row>
      <xdr:rowOff>247650</xdr:rowOff>
    </xdr:to>
    <xdr:sp macro="[0]!NewOr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BF69E14-EBAD-E0BA-D9E6-CF942D47C5FC}"/>
            </a:ext>
          </a:extLst>
        </xdr:cNvPr>
        <xdr:cNvSpPr/>
      </xdr:nvSpPr>
      <xdr:spPr>
        <a:xfrm>
          <a:off x="19224380" y="306265"/>
          <a:ext cx="3626827" cy="29798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500"/>
            <a:t> </a:t>
          </a:r>
          <a:br>
            <a:rPr lang="en-CA" sz="1100"/>
          </a:br>
          <a:r>
            <a:rPr lang="en-CA" sz="1600" b="0" u="none">
              <a:solidFill>
                <a:srgbClr val="FFFF00"/>
              </a:solidFill>
              <a:latin typeface="Aptos" panose="020B0004020202020204" pitchFamily="34" charset="0"/>
            </a:rPr>
            <a:t>CLICK</a:t>
          </a:r>
          <a:r>
            <a:rPr lang="en-CA" sz="1600" b="0" u="none" baseline="0">
              <a:solidFill>
                <a:srgbClr val="FFFF00"/>
              </a:solidFill>
              <a:latin typeface="Aptos" panose="020B0004020202020204" pitchFamily="34" charset="0"/>
            </a:rPr>
            <a:t> HERE!</a:t>
          </a:r>
          <a:br>
            <a:rPr lang="en-CA" sz="1100" b="0" baseline="0">
              <a:solidFill>
                <a:sysClr val="windowText" lastClr="000000"/>
              </a:solidFill>
            </a:rPr>
          </a:br>
          <a:endParaRPr lang="en-CA" sz="1100" b="0" baseline="0">
            <a:solidFill>
              <a:sysClr val="windowText" lastClr="000000"/>
            </a:solidFill>
          </a:endParaRPr>
        </a:p>
        <a:p>
          <a:pPr algn="ctr"/>
          <a:br>
            <a:rPr lang="en-CA" sz="11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Save Bill of Materials </a:t>
          </a:r>
          <a:r>
            <a:rPr lang="en-CA" sz="1200" b="0" baseline="0">
              <a:solidFill>
                <a:sysClr val="windowText" lastClr="000000"/>
              </a:solidFill>
            </a:rPr>
            <a:t>(BOM)</a:t>
          </a:r>
          <a:br>
            <a:rPr lang="en-CA" sz="12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&amp;</a:t>
          </a:r>
          <a:br>
            <a:rPr lang="en-CA" sz="2800" b="0" baseline="0">
              <a:solidFill>
                <a:sysClr val="windowText" lastClr="000000"/>
              </a:solidFill>
            </a:rPr>
          </a:br>
          <a:r>
            <a:rPr lang="en-CA" sz="2800" b="0" baseline="0">
              <a:solidFill>
                <a:sysClr val="windowText" lastClr="000000"/>
              </a:solidFill>
            </a:rPr>
            <a:t>Reset Template</a:t>
          </a:r>
          <a:endParaRPr lang="en-CA" sz="28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180974</xdr:colOff>
      <xdr:row>9</xdr:row>
      <xdr:rowOff>142875</xdr:rowOff>
    </xdr:from>
    <xdr:to>
      <xdr:col>9</xdr:col>
      <xdr:colOff>3638549</xdr:colOff>
      <xdr:row>29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3B56B5-16D7-B65C-6ED0-E0DAB1F07835}"/>
            </a:ext>
          </a:extLst>
        </xdr:cNvPr>
        <xdr:cNvSpPr txBox="1"/>
      </xdr:nvSpPr>
      <xdr:spPr>
        <a:xfrm>
          <a:off x="19278599" y="3543300"/>
          <a:ext cx="3457575" cy="724852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>
              <a:latin typeface="Aptos" panose="020B0004020202020204" pitchFamily="34" charset="0"/>
            </a:rPr>
            <a:t>Instructions</a:t>
          </a:r>
        </a:p>
        <a:p>
          <a:pPr algn="ctr"/>
          <a:r>
            <a:rPr lang="en-CA" sz="500" b="1">
              <a:latin typeface="Aptos" panose="020B0004020202020204" pitchFamily="34" charset="0"/>
            </a:rPr>
            <a:t>______________________________________________________________________________</a:t>
          </a:r>
        </a:p>
        <a:p>
          <a:pPr algn="ctr"/>
          <a:endParaRPr lang="en-CA" sz="500">
            <a:latin typeface="Aptos" panose="020B0004020202020204" pitchFamily="34" charset="0"/>
          </a:endParaRPr>
        </a:p>
        <a:p>
          <a:pPr lvl="1" algn="l"/>
          <a:endParaRPr lang="en-CA" sz="1600" b="1">
            <a:latin typeface="Aptos" panose="020B0004020202020204" pitchFamily="34" charset="0"/>
          </a:endParaRPr>
        </a:p>
        <a:p>
          <a:pPr lvl="1" algn="l"/>
          <a:r>
            <a:rPr lang="en-CA" sz="1800" b="1">
              <a:latin typeface="Aptos" panose="020B0004020202020204" pitchFamily="34" charset="0"/>
            </a:rPr>
            <a:t>What is this?</a:t>
          </a:r>
        </a:p>
        <a:p>
          <a:pPr algn="l"/>
          <a:endParaRPr lang="en-CA" sz="500" b="1">
            <a:latin typeface="Aptos" panose="020B0004020202020204" pitchFamily="34" charset="0"/>
          </a:endParaRPr>
        </a:p>
        <a:p>
          <a:pPr algn="l"/>
          <a:r>
            <a:rPr lang="en-CA" sz="1400">
              <a:latin typeface="Aptos" panose="020B0004020202020204" pitchFamily="34" charset="0"/>
            </a:rPr>
            <a:t>This sheet</a:t>
          </a:r>
          <a:r>
            <a:rPr lang="en-CA" sz="1400" baseline="0">
              <a:latin typeface="Aptos" panose="020B0004020202020204" pitchFamily="34" charset="0"/>
            </a:rPr>
            <a:t>, "</a:t>
          </a:r>
          <a:r>
            <a:rPr lang="en-CA" sz="1400" b="1" baseline="0">
              <a:latin typeface="Aptos" panose="020B0004020202020204" pitchFamily="34" charset="0"/>
            </a:rPr>
            <a:t>BOM</a:t>
          </a:r>
          <a:r>
            <a:rPr lang="en-CA" sz="1400" baseline="0">
              <a:latin typeface="Aptos" panose="020B0004020202020204" pitchFamily="34" charset="0"/>
            </a:rPr>
            <a:t>" is the </a:t>
          </a:r>
          <a:r>
            <a:rPr lang="en-CA" sz="1400" i="1" baseline="0">
              <a:latin typeface="Aptos" panose="020B0004020202020204" pitchFamily="34" charset="0"/>
            </a:rPr>
            <a:t>Bill of Materials </a:t>
          </a:r>
          <a:r>
            <a:rPr lang="en-CA" sz="1400" baseline="0">
              <a:latin typeface="Aptos" panose="020B0004020202020204" pitchFamily="34" charset="0"/>
            </a:rPr>
            <a:t>worksheet which is designated as the main sheet that will import the data from all other sheets within this workbook.</a:t>
          </a:r>
        </a:p>
        <a:p>
          <a:pPr lvl="1" algn="l"/>
          <a:endParaRPr lang="en-CA" sz="1600" b="0" baseline="0">
            <a:latin typeface="Aptos" panose="020B0004020202020204" pitchFamily="34" charset="0"/>
          </a:endParaRPr>
        </a:p>
        <a:p>
          <a:pPr lvl="1" algn="l"/>
          <a:r>
            <a:rPr lang="en-CA" sz="1800" b="1" baseline="0">
              <a:latin typeface="Aptos" panose="020B0004020202020204" pitchFamily="34" charset="0"/>
            </a:rPr>
            <a:t>Adding Content:</a:t>
          </a:r>
        </a:p>
        <a:p>
          <a:pPr algn="l"/>
          <a:endParaRPr lang="en-CA" sz="500" b="1" baseline="0">
            <a:latin typeface="Aptos" panose="020B0004020202020204" pitchFamily="34" charset="0"/>
          </a:endParaRPr>
        </a:p>
        <a:p>
          <a:pPr algn="l"/>
          <a:r>
            <a:rPr lang="en-CA" sz="1600" b="0" i="0">
              <a:latin typeface="Aptos" panose="020B0004020202020204" pitchFamily="34" charset="0"/>
            </a:rPr>
            <a:t>   </a:t>
          </a:r>
          <a:r>
            <a:rPr lang="en-CA" sz="1600" b="1" i="0">
              <a:latin typeface="Aptos" panose="020B0004020202020204" pitchFamily="34" charset="0"/>
            </a:rPr>
            <a:t>Step 1</a:t>
          </a:r>
          <a:r>
            <a:rPr lang="en-CA" sz="1600" b="1" i="0" baseline="0">
              <a:latin typeface="Aptos" panose="020B0004020202020204" pitchFamily="34" charset="0"/>
            </a:rPr>
            <a:t>:</a:t>
          </a:r>
        </a:p>
        <a:p>
          <a:pPr algn="l"/>
          <a:endParaRPr lang="en-CA" sz="300" b="1" i="1" baseline="0">
            <a:latin typeface="Aptos" panose="020B0004020202020204" pitchFamily="34" charset="0"/>
          </a:endParaRPr>
        </a:p>
        <a:p>
          <a:pPr algn="l"/>
          <a:r>
            <a:rPr lang="en-CA" sz="100" b="0" baseline="0">
              <a:latin typeface="Aptos" panose="020B0004020202020204" pitchFamily="34" charset="0"/>
            </a:rPr>
            <a:t>d </a:t>
          </a:r>
          <a:r>
            <a:rPr lang="en-CA" sz="1400" b="0">
              <a:latin typeface="Aptos" panose="020B0004020202020204" pitchFamily="34" charset="0"/>
            </a:rPr>
            <a:t>Click on any worksheet within this workbook</a:t>
          </a:r>
        </a:p>
        <a:p>
          <a:pPr algn="l"/>
          <a:endParaRPr lang="en-CA" sz="300" b="0">
            <a:latin typeface="Aptos" panose="020B0004020202020204" pitchFamily="34" charset="0"/>
          </a:endParaRPr>
        </a:p>
        <a:p>
          <a:pPr algn="l"/>
          <a:r>
            <a:rPr lang="en-CA" sz="1600" b="0" i="1">
              <a:latin typeface="Aptos" panose="020B0004020202020204" pitchFamily="34" charset="0"/>
            </a:rPr>
            <a:t>   </a:t>
          </a:r>
          <a:r>
            <a:rPr lang="en-CA" sz="1600" b="1" i="1">
              <a:latin typeface="Aptos" panose="020B0004020202020204" pitchFamily="34" charset="0"/>
            </a:rPr>
            <a:t>Step</a:t>
          </a:r>
          <a:r>
            <a:rPr lang="en-CA" sz="1600" b="1" i="1" baseline="0">
              <a:latin typeface="Aptos" panose="020B0004020202020204" pitchFamily="34" charset="0"/>
            </a:rPr>
            <a:t> 2:</a:t>
          </a:r>
        </a:p>
        <a:p>
          <a:pPr algn="l"/>
          <a:r>
            <a:rPr lang="en-CA" sz="300" b="0" baseline="0">
              <a:latin typeface="Aptos" panose="020B0004020202020204" pitchFamily="34" charset="0"/>
            </a:rPr>
            <a:t>  </a:t>
          </a:r>
          <a:br>
            <a:rPr lang="en-CA" sz="1400" b="0" baseline="0">
              <a:latin typeface="Aptos" panose="020B0004020202020204" pitchFamily="34" charset="0"/>
            </a:rPr>
          </a:br>
          <a:r>
            <a:rPr lang="en-CA" sz="1400" b="0" u="none" baseline="0">
              <a:solidFill>
                <a:schemeClr val="accent4"/>
              </a:solidFill>
              <a:latin typeface="Aptos" panose="020B0004020202020204" pitchFamily="34" charset="0"/>
            </a:rPr>
            <a:t>Right click </a:t>
          </a:r>
          <a:r>
            <a:rPr lang="en-CA" sz="1400" b="0" baseline="0">
              <a:latin typeface="Aptos" panose="020B0004020202020204" pitchFamily="34" charset="0"/>
            </a:rPr>
            <a:t>the row of your desired item </a:t>
          </a:r>
          <a:r>
            <a:rPr lang="en-CA" sz="1200" b="0" baseline="0">
              <a:latin typeface="Aptos" panose="020B0004020202020204" pitchFamily="34" charset="0"/>
            </a:rPr>
            <a:t>(Anywhere within the items row)</a:t>
          </a:r>
          <a:r>
            <a:rPr lang="en-CA" sz="1400" b="0" baseline="0">
              <a:latin typeface="Aptos" panose="020B0004020202020204" pitchFamily="34" charset="0"/>
            </a:rPr>
            <a:t>.</a:t>
          </a:r>
          <a:r>
            <a:rPr lang="en-CA" sz="1200" b="0" baseline="0">
              <a:latin typeface="Aptos" panose="020B0004020202020204" pitchFamily="34" charset="0"/>
            </a:rPr>
            <a:t> </a:t>
          </a:r>
          <a:r>
            <a:rPr lang="en-CA" sz="1400" b="0" baseline="0">
              <a:latin typeface="Aptos" panose="020B0004020202020204" pitchFamily="34" charset="0"/>
            </a:rPr>
            <a:t>This automatically transfers contents to this worksheet; named </a:t>
          </a:r>
          <a:r>
            <a:rPr lang="en-CA" sz="1400" b="0" i="1" baseline="0">
              <a:latin typeface="Aptos" panose="020B0004020202020204" pitchFamily="34" charset="0"/>
            </a:rPr>
            <a:t>BOM</a:t>
          </a:r>
          <a:r>
            <a:rPr lang="en-CA" sz="1400" b="0" baseline="0">
              <a:latin typeface="Aptos" panose="020B0004020202020204" pitchFamily="34" charset="0"/>
            </a:rPr>
            <a:t>.</a:t>
          </a:r>
        </a:p>
        <a:p>
          <a:pPr algn="l"/>
          <a:r>
            <a:rPr lang="en-CA" sz="300" b="0" baseline="0">
              <a:latin typeface="Aptos" panose="020B0004020202020204" pitchFamily="34" charset="0"/>
            </a:rPr>
            <a:t> </a:t>
          </a:r>
          <a:br>
            <a:rPr lang="en-CA" sz="1400" b="0" baseline="0">
              <a:latin typeface="Aptos" panose="020B0004020202020204" pitchFamily="34" charset="0"/>
            </a:rPr>
          </a:br>
          <a:r>
            <a:rPr lang="en-CA" sz="1600" b="0" i="1" baseline="0">
              <a:latin typeface="Aptos" panose="020B0004020202020204" pitchFamily="34" charset="0"/>
            </a:rPr>
            <a:t>   </a:t>
          </a:r>
          <a:r>
            <a:rPr lang="en-CA" sz="1600" b="1" i="1" baseline="0">
              <a:latin typeface="Aptos" panose="020B0004020202020204" pitchFamily="34" charset="0"/>
            </a:rPr>
            <a:t>Step 3: </a:t>
          </a:r>
        </a:p>
        <a:p>
          <a:pPr algn="l"/>
          <a:r>
            <a:rPr lang="en-CA" sz="300" b="1" i="1" baseline="0">
              <a:latin typeface="Aptos" panose="020B0004020202020204" pitchFamily="34" charset="0"/>
            </a:rPr>
            <a:t> </a:t>
          </a:r>
          <a:endParaRPr lang="en-CA" sz="300" b="1" i="0" baseline="0"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 i="0">
              <a:latin typeface="Aptos" panose="020B0004020202020204" pitchFamily="34" charset="0"/>
            </a:rPr>
            <a:t>Once</a:t>
          </a:r>
          <a:r>
            <a:rPr lang="en-CA" sz="1400" b="0" i="0" baseline="0">
              <a:latin typeface="Aptos" panose="020B0004020202020204" pitchFamily="34" charset="0"/>
            </a:rPr>
            <a:t> added in your desired items, m</a:t>
          </a:r>
          <a:r>
            <a:rPr lang="en-CA" sz="1400" b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anually</a:t>
          </a:r>
          <a:r>
            <a:rPr lang="en-CA" sz="14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 type in the quantity that you wish in this sheet </a:t>
          </a:r>
          <a:r>
            <a:rPr lang="en-CA" sz="12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(BOM), </a:t>
          </a:r>
          <a:r>
            <a:rPr lang="en-CA" sz="1400" b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in column G</a:t>
          </a:r>
          <a:endParaRPr lang="en-CA" sz="1400" b="0">
            <a:effectLst/>
            <a:latin typeface="Aptos" panose="020B0004020202020204" pitchFamily="34" charset="0"/>
          </a:endParaRPr>
        </a:p>
        <a:p>
          <a:pPr algn="l"/>
          <a:r>
            <a:rPr lang="en-CA" sz="300" b="1" i="0" baseline="0">
              <a:solidFill>
                <a:srgbClr val="FFFF00"/>
              </a:solidFill>
              <a:latin typeface="Aptos" panose="020B0004020202020204" pitchFamily="34" charset="0"/>
            </a:rPr>
            <a:t> </a:t>
          </a:r>
        </a:p>
        <a:p>
          <a:pPr algn="l"/>
          <a:r>
            <a:rPr lang="en-CA" sz="14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   </a:t>
          </a:r>
          <a:r>
            <a:rPr lang="en-CA" sz="16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Step 4:</a:t>
          </a:r>
        </a:p>
        <a:p>
          <a:pPr algn="l"/>
          <a:r>
            <a:rPr lang="en-CA" sz="300" b="1" i="0" baseline="0">
              <a:solidFill>
                <a:sysClr val="windowText" lastClr="000000"/>
              </a:solidFill>
              <a:latin typeface="Aptos" panose="020B0004020202020204" pitchFamily="34" charset="0"/>
            </a:rPr>
            <a:t> </a:t>
          </a:r>
          <a:endParaRPr lang="en-CA" sz="300" b="1" i="0">
            <a:solidFill>
              <a:sysClr val="windowText" lastClr="000000"/>
            </a:solidFill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 i="0" baseline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click the blue button above that says </a:t>
          </a:r>
          <a:r>
            <a:rPr lang="en-CA" sz="1400" b="1" i="0" baseline="0">
              <a:solidFill>
                <a:srgbClr val="FFFF00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"CLICK HERE"</a:t>
          </a:r>
          <a:endParaRPr lang="en-CA" sz="1400">
            <a:solidFill>
              <a:srgbClr val="FFFF00"/>
            </a:solidFill>
            <a:effectLst/>
            <a:latin typeface="Aptos" panose="020B0004020202020204" pitchFamily="34" charset="0"/>
          </a:endParaRPr>
        </a:p>
        <a:p>
          <a:pPr algn="l"/>
          <a:endParaRPr lang="en-CA" sz="500" b="0">
            <a:latin typeface="Aptos" panose="020B0004020202020204" pitchFamily="34" charset="0"/>
          </a:endParaRPr>
        </a:p>
        <a:p>
          <a:pPr algn="l"/>
          <a:r>
            <a:rPr lang="en-CA" sz="1600" b="1">
              <a:latin typeface="Aptos" panose="020B0004020202020204" pitchFamily="34" charset="0"/>
            </a:rPr>
            <a:t>   Step 5:</a:t>
          </a:r>
        </a:p>
        <a:p>
          <a:pPr algn="l"/>
          <a:endParaRPr lang="en-CA" sz="500" b="0">
            <a:latin typeface="Aptos" panose="020B00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0">
              <a:solidFill>
                <a:schemeClr val="dk1"/>
              </a:solidFill>
              <a:effectLst/>
              <a:latin typeface="Aptos" panose="020B0004020202020204" pitchFamily="34" charset="0"/>
              <a:ea typeface="+mn-ea"/>
              <a:cs typeface="+mn-cs"/>
            </a:rPr>
            <a:t>Follow &amp; read the instructions </a:t>
          </a:r>
          <a:r>
            <a:rPr lang="en-CA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dialog box once clicked.</a:t>
          </a:r>
          <a:endParaRPr lang="en-CA" sz="1400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C9F5A3-99E3-4F7F-9FEB-8C39ABFEDBC1}" name="tb_Materials" displayName="tb_Materials" ref="A1:K105" totalsRowShown="0" headerRowDxfId="19" dataDxfId="18" tableBorderDxfId="17">
  <tableColumns count="11">
    <tableColumn id="5" xr3:uid="{AC28F320-180B-4C96-9488-24A9BA37F315}" name="SAP_Name" dataDxfId="16"/>
    <tableColumn id="9" xr3:uid="{C5596622-D273-4AAE-AAA5-A662D3F40684}" name="Fab_cost_per_kg-SAP" dataDxfId="15"/>
    <tableColumn id="1" xr3:uid="{12EDA9AC-7DE8-4ECF-B3EC-2B7AECF145B1}" name="Last_price_date" dataDxfId="14"/>
    <tableColumn id="2" xr3:uid="{C8D45116-707A-4CE0-873B-EC193F142EAB}" name="Material" dataDxfId="13"/>
    <tableColumn id="12" xr3:uid="{D8496137-6AFC-446A-948F-41784B313860}" name="Type" dataDxfId="12"/>
    <tableColumn id="13" xr3:uid="{ADB15FE9-713C-46A8-961B-9D22AB66456C}" name="Shape" dataDxfId="11"/>
    <tableColumn id="7" xr3:uid="{51DE4724-1153-46E2-942A-31BFB1F0B0FB}" name="Full_thickness_in" dataDxfId="10"/>
    <tableColumn id="8" xr3:uid="{2E7463A5-ECB2-4D31-85D9-943786EE3502}" name="Ins_Width_in" dataDxfId="9"/>
    <tableColumn id="10" xr3:uid="{466DB211-B54B-4028-A8CE-890A14584D51}" name="Factor_cost_per_kg" dataDxfId="8"/>
    <tableColumn id="11" xr3:uid="{CD93537E-94AE-4661-9312-C82A4337B230}" name="Total_cost_per_lb" dataDxfId="7"/>
    <tableColumn id="14" xr3:uid="{9894DF38-52DC-4C2F-9C3C-3BCA5A2F1BBB}" name="Cod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E4AF03-30A1-4F82-9485-26A37A9B40EB}" name="tb_Materials3" displayName="tb_Materials3" ref="D1:F29" totalsRowShown="0" headerRowDxfId="5" dataDxfId="4" tableBorderDxfId="3">
  <tableColumns count="3">
    <tableColumn id="1" xr3:uid="{BBC57481-237B-4F4B-9E93-C3ED7381E3F1}" name="Type" dataDxfId="2"/>
    <tableColumn id="6" xr3:uid="{05705BF6-E674-4D6F-98CE-30A196C4845A}" name="Full_thickness_in" dataDxfId="1"/>
    <tableColumn id="2" xr3:uid="{B50CA115-E847-4834-AE3C-9315DC16B122}" name="Typ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1095F-0531-45EE-B60C-EE1C96228B84}">
  <sheetPr codeName="Sheet8"/>
  <dimension ref="A1:N20"/>
  <sheetViews>
    <sheetView zoomScale="55" zoomScaleNormal="55" workbookViewId="0">
      <selection activeCell="H14" sqref="H14"/>
    </sheetView>
  </sheetViews>
  <sheetFormatPr defaultColWidth="0" defaultRowHeight="28.5" customHeight="1"/>
  <cols>
    <col min="1" max="1" width="25.7109375" style="72" customWidth="1"/>
    <col min="2" max="2" width="21.85546875" style="73" customWidth="1"/>
    <col min="3" max="3" width="38.85546875" style="73" customWidth="1"/>
    <col min="4" max="4" width="37.5703125" style="73" customWidth="1"/>
    <col min="5" max="5" width="26.7109375" style="73" customWidth="1"/>
    <col min="6" max="6" width="51.85546875" style="73" customWidth="1"/>
    <col min="7" max="7" width="17.42578125" style="73" customWidth="1"/>
    <col min="8" max="8" width="25.5703125" style="73" customWidth="1"/>
    <col min="9" max="9" width="40.85546875" style="73" customWidth="1"/>
    <col min="10" max="10" width="58.42578125" style="54" customWidth="1"/>
    <col min="11" max="11" width="38.7109375" style="53" hidden="1" customWidth="1"/>
    <col min="12" max="12" width="3.140625" style="53" hidden="1" customWidth="1"/>
    <col min="13" max="14" width="0" style="52" hidden="1" customWidth="1"/>
    <col min="15" max="16384" width="25.5703125" style="52" hidden="1"/>
  </cols>
  <sheetData>
    <row r="1" spans="1:12" ht="39.75" customHeight="1">
      <c r="A1" s="69" t="s">
        <v>292</v>
      </c>
      <c r="B1" s="69" t="s">
        <v>290</v>
      </c>
      <c r="C1" s="69" t="s">
        <v>291</v>
      </c>
      <c r="D1" s="69" t="s">
        <v>293</v>
      </c>
      <c r="E1" s="69" t="s">
        <v>117</v>
      </c>
      <c r="F1" s="69" t="s">
        <v>4</v>
      </c>
      <c r="G1" s="70" t="s">
        <v>294</v>
      </c>
      <c r="H1" s="70" t="s">
        <v>296</v>
      </c>
      <c r="I1" s="71" t="s">
        <v>295</v>
      </c>
      <c r="J1" s="55"/>
      <c r="L1" s="56"/>
    </row>
    <row r="2" spans="1:12" ht="28.5" customHeight="1">
      <c r="C2" s="74"/>
      <c r="H2" s="73" t="str">
        <f>IF(G2="","",G2*B2)</f>
        <v/>
      </c>
    </row>
    <row r="3" spans="1:12" ht="28.5" customHeight="1">
      <c r="C3" s="74"/>
    </row>
    <row r="4" spans="1:12" ht="28.5" customHeight="1">
      <c r="C4" s="74"/>
    </row>
    <row r="5" spans="1:12" ht="28.5" customHeight="1">
      <c r="C5" s="74"/>
    </row>
    <row r="6" spans="1:12" ht="28.5" customHeight="1">
      <c r="C6" s="74"/>
    </row>
    <row r="7" spans="1:12" ht="28.5" customHeight="1">
      <c r="C7" s="74"/>
    </row>
    <row r="8" spans="1:12" ht="28.5" customHeight="1">
      <c r="C8" s="74"/>
    </row>
    <row r="10" spans="1:12" ht="28.5" customHeight="1">
      <c r="C10" s="74"/>
      <c r="K10" s="57"/>
    </row>
    <row r="11" spans="1:12" ht="28.5" customHeight="1">
      <c r="C11" s="74"/>
      <c r="K11" s="57"/>
    </row>
    <row r="12" spans="1:12" ht="28.5" customHeight="1">
      <c r="K12" s="57"/>
    </row>
    <row r="13" spans="1:12" ht="28.5" customHeight="1">
      <c r="K13" s="57"/>
    </row>
    <row r="14" spans="1:12" ht="28.5" customHeight="1">
      <c r="K14" s="57"/>
    </row>
    <row r="15" spans="1:12" ht="28.5" customHeight="1">
      <c r="K15" s="57"/>
    </row>
    <row r="16" spans="1:12" ht="28.5" customHeight="1">
      <c r="K16" s="57"/>
    </row>
    <row r="17" spans="11:11" ht="28.5" customHeight="1">
      <c r="K17" s="57"/>
    </row>
    <row r="18" spans="11:11" ht="28.5" customHeight="1">
      <c r="K18" s="57"/>
    </row>
    <row r="19" spans="11:11" ht="28.5" customHeight="1">
      <c r="K19" s="57"/>
    </row>
    <row r="20" spans="11:11" ht="28.5" customHeight="1">
      <c r="K20" s="5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Order">
                <anchor moveWithCells="1" sizeWithCells="1">
                  <from>
                    <xdr:col>10</xdr:col>
                    <xdr:colOff>161925</xdr:colOff>
                    <xdr:row>10</xdr:row>
                    <xdr:rowOff>95250</xdr:rowOff>
                  </from>
                  <to>
                    <xdr:col>10</xdr:col>
                    <xdr:colOff>2466975</xdr:colOff>
                    <xdr:row>19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4EE85-C959-49AF-AA71-67077F7FB9C6}">
  <dimension ref="A1:I11"/>
  <sheetViews>
    <sheetView workbookViewId="0">
      <selection activeCell="L15" sqref="L15"/>
    </sheetView>
  </sheetViews>
  <sheetFormatPr defaultRowHeight="15"/>
  <cols>
    <col min="1" max="1" width="8.140625" bestFit="1" customWidth="1"/>
    <col min="2" max="2" width="9" bestFit="1" customWidth="1"/>
    <col min="3" max="3" width="10.42578125" bestFit="1" customWidth="1"/>
    <col min="4" max="4" width="8.7109375" bestFit="1" customWidth="1"/>
    <col min="5" max="5" width="8.5703125" bestFit="1" customWidth="1"/>
    <col min="6" max="6" width="11.140625" bestFit="1" customWidth="1"/>
    <col min="7" max="7" width="8.7109375" bestFit="1" customWidth="1"/>
    <col min="8" max="8" width="12" bestFit="1" customWidth="1"/>
    <col min="9" max="9" width="5.5703125" bestFit="1" customWidth="1"/>
  </cols>
  <sheetData>
    <row r="1" spans="1:9" ht="45">
      <c r="A1" s="78" t="s">
        <v>292</v>
      </c>
      <c r="B1" s="78" t="s">
        <v>290</v>
      </c>
      <c r="C1" s="78" t="s">
        <v>291</v>
      </c>
      <c r="D1" s="78" t="s">
        <v>293</v>
      </c>
      <c r="E1" s="78" t="s">
        <v>117</v>
      </c>
      <c r="F1" s="78" t="s">
        <v>4</v>
      </c>
      <c r="G1" s="79" t="s">
        <v>294</v>
      </c>
      <c r="H1" s="79" t="s">
        <v>296</v>
      </c>
      <c r="I1" s="80" t="s">
        <v>295</v>
      </c>
    </row>
    <row r="2" spans="1:9">
      <c r="A2" t="s">
        <v>373</v>
      </c>
      <c r="B2">
        <v>5.3058540000000001</v>
      </c>
      <c r="C2" t="s">
        <v>374</v>
      </c>
      <c r="F2" t="s">
        <v>18</v>
      </c>
      <c r="G2">
        <v>200.20500000000001</v>
      </c>
      <c r="H2">
        <v>1062.2585000700001</v>
      </c>
    </row>
    <row r="3" spans="1:9">
      <c r="A3" t="s">
        <v>15</v>
      </c>
      <c r="B3">
        <v>6.23</v>
      </c>
      <c r="C3" s="81">
        <v>45986</v>
      </c>
      <c r="F3" t="s">
        <v>11</v>
      </c>
      <c r="G3">
        <v>6.1159999999999997</v>
      </c>
      <c r="H3">
        <v>38.102679999999999</v>
      </c>
    </row>
    <row r="4" spans="1:9">
      <c r="A4" t="s">
        <v>17</v>
      </c>
      <c r="B4">
        <v>4.43</v>
      </c>
      <c r="C4" s="81">
        <v>45987</v>
      </c>
      <c r="F4" t="s">
        <v>11</v>
      </c>
      <c r="G4">
        <v>5.8529999999999998</v>
      </c>
      <c r="H4">
        <v>25.928789999999996</v>
      </c>
    </row>
    <row r="5" spans="1:9">
      <c r="A5" t="s">
        <v>87</v>
      </c>
      <c r="B5">
        <v>2.67</v>
      </c>
      <c r="C5" s="81">
        <v>46006</v>
      </c>
      <c r="F5" t="s">
        <v>85</v>
      </c>
      <c r="G5">
        <v>0.51200000000000001</v>
      </c>
      <c r="H5">
        <v>1.36704</v>
      </c>
    </row>
    <row r="6" spans="1:9">
      <c r="A6" t="s">
        <v>86</v>
      </c>
      <c r="B6">
        <v>4.0747</v>
      </c>
      <c r="C6" s="81">
        <v>45930</v>
      </c>
      <c r="F6" t="s">
        <v>85</v>
      </c>
      <c r="G6">
        <v>1.9530000000000001</v>
      </c>
      <c r="H6">
        <v>7.9578891</v>
      </c>
    </row>
    <row r="7" spans="1:9">
      <c r="A7" t="s">
        <v>93</v>
      </c>
      <c r="B7">
        <v>6.5271999999999997</v>
      </c>
      <c r="C7" s="81">
        <v>45959</v>
      </c>
      <c r="F7" t="s">
        <v>90</v>
      </c>
      <c r="G7">
        <v>0.44800000000000001</v>
      </c>
      <c r="H7">
        <v>2.9241855999999999</v>
      </c>
    </row>
    <row r="8" spans="1:9">
      <c r="A8">
        <v>0.02</v>
      </c>
      <c r="B8">
        <v>4.26</v>
      </c>
      <c r="C8" s="81">
        <v>36526</v>
      </c>
      <c r="F8" t="s">
        <v>2</v>
      </c>
      <c r="G8">
        <v>22.783000000000001</v>
      </c>
      <c r="H8">
        <v>97.055580000000006</v>
      </c>
    </row>
    <row r="9" spans="1:9">
      <c r="A9" t="s">
        <v>63</v>
      </c>
      <c r="B9">
        <v>7.6497000000000002</v>
      </c>
      <c r="C9" s="81">
        <v>45996</v>
      </c>
      <c r="F9" t="s">
        <v>2</v>
      </c>
      <c r="G9">
        <v>21.545000000000002</v>
      </c>
      <c r="H9">
        <v>164.81278650000002</v>
      </c>
    </row>
    <row r="10" spans="1:9">
      <c r="A10" t="s">
        <v>102</v>
      </c>
      <c r="B10">
        <v>0</v>
      </c>
      <c r="C10" s="81">
        <v>36526</v>
      </c>
      <c r="F10" t="s">
        <v>5</v>
      </c>
      <c r="G10">
        <v>1.579</v>
      </c>
      <c r="H10">
        <v>0</v>
      </c>
    </row>
    <row r="11" spans="1:9">
      <c r="A11" t="s">
        <v>102</v>
      </c>
      <c r="B11">
        <v>0</v>
      </c>
      <c r="C11" s="81">
        <v>36526</v>
      </c>
      <c r="F11" t="s">
        <v>5</v>
      </c>
      <c r="G11">
        <v>0.44800000000000001</v>
      </c>
      <c r="H1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C6BBA-FEE8-47B6-87EF-E236C8945FAE}">
  <sheetPr codeName="Sheet1"/>
  <dimension ref="A1:AG118"/>
  <sheetViews>
    <sheetView zoomScale="85" zoomScaleNormal="85" workbookViewId="0">
      <selection activeCell="A2" sqref="A2:XFD2"/>
    </sheetView>
  </sheetViews>
  <sheetFormatPr defaultColWidth="0" defaultRowHeight="15"/>
  <cols>
    <col min="1" max="1" width="12.85546875" style="22" customWidth="1"/>
    <col min="2" max="2" width="21.7109375" style="23" customWidth="1"/>
    <col min="3" max="3" width="21.42578125" style="49" customWidth="1"/>
    <col min="4" max="4" width="14.42578125" style="22" customWidth="1"/>
    <col min="5" max="5" width="15.42578125" style="22" customWidth="1"/>
    <col min="6" max="6" width="13.5703125" style="22" customWidth="1"/>
    <col min="7" max="7" width="19.85546875" style="22" customWidth="1"/>
    <col min="8" max="8" width="14.28515625" style="22" customWidth="1"/>
    <col min="9" max="9" width="22.42578125" style="22" customWidth="1"/>
    <col min="10" max="10" width="16.85546875" style="22" customWidth="1"/>
    <col min="11" max="11" width="10.42578125" style="22" customWidth="1"/>
    <col min="12" max="12" width="3.140625" style="1" hidden="1" customWidth="1"/>
    <col min="13" max="13" width="3.5703125" style="1" hidden="1" customWidth="1"/>
    <col min="14" max="15" width="3.28515625" style="1" hidden="1" customWidth="1"/>
    <col min="16" max="16" width="8.5703125" style="1" hidden="1" customWidth="1"/>
    <col min="17" max="17" width="6.5703125" style="1" hidden="1" customWidth="1"/>
    <col min="18" max="18" width="7.85546875" style="1" hidden="1" customWidth="1"/>
    <col min="19" max="19" width="2.7109375" style="1" hidden="1" customWidth="1"/>
    <col min="20" max="20" width="3.5703125" style="1" hidden="1" customWidth="1"/>
    <col min="21" max="21" width="9.140625" style="1" hidden="1" customWidth="1"/>
    <col min="22" max="22" width="16.85546875" style="1" hidden="1" customWidth="1"/>
    <col min="23" max="23" width="14.5703125" style="1" hidden="1" customWidth="1"/>
    <col min="24" max="24" width="15.42578125" style="1" hidden="1" customWidth="1"/>
    <col min="25" max="26" width="8.85546875" style="1" hidden="1" customWidth="1"/>
    <col min="27" max="27" width="8.28515625" style="1" hidden="1" customWidth="1"/>
    <col min="28" max="28" width="8.5703125" style="1" hidden="1" customWidth="1"/>
    <col min="29" max="29" width="9.5703125" style="1" hidden="1" customWidth="1"/>
    <col min="30" max="32" width="8.85546875" style="1" hidden="1" customWidth="1"/>
    <col min="33" max="33" width="11.42578125" style="1" hidden="1" customWidth="1"/>
    <col min="34" max="16384" width="8.85546875" style="1" hidden="1"/>
  </cols>
  <sheetData>
    <row r="1" spans="1:26" s="2" customFormat="1" ht="32.450000000000003" customHeight="1">
      <c r="A1" s="17" t="s">
        <v>22</v>
      </c>
      <c r="B1" s="17" t="s">
        <v>105</v>
      </c>
      <c r="C1" s="47" t="s">
        <v>221</v>
      </c>
      <c r="D1" s="17" t="s">
        <v>1</v>
      </c>
      <c r="E1" s="17" t="s">
        <v>4</v>
      </c>
      <c r="F1" s="17" t="s">
        <v>7</v>
      </c>
      <c r="G1" s="17" t="s">
        <v>19</v>
      </c>
      <c r="H1" s="17" t="s">
        <v>20</v>
      </c>
      <c r="I1" s="17" t="s">
        <v>14</v>
      </c>
      <c r="J1" s="17" t="s">
        <v>13</v>
      </c>
      <c r="K1" s="17" t="s">
        <v>3</v>
      </c>
      <c r="L1" s="8"/>
      <c r="M1" s="8"/>
      <c r="N1" s="8"/>
      <c r="O1" s="3"/>
      <c r="P1" s="7"/>
      <c r="Q1" s="7"/>
      <c r="R1" s="7"/>
      <c r="U1" s="4"/>
      <c r="V1" s="1"/>
      <c r="W1" s="1"/>
      <c r="X1" s="1"/>
      <c r="Y1" s="1"/>
      <c r="Z1" s="5"/>
    </row>
    <row r="2" spans="1:26" ht="13.5">
      <c r="A2" s="19">
        <v>1.18E-2</v>
      </c>
      <c r="B2" s="21">
        <v>0</v>
      </c>
      <c r="C2" s="48">
        <v>36526</v>
      </c>
      <c r="D2" s="19" t="s">
        <v>5</v>
      </c>
      <c r="E2" s="19" t="s">
        <v>2</v>
      </c>
      <c r="F2" s="19" t="s">
        <v>12</v>
      </c>
      <c r="G2" s="19">
        <v>1.18E-2</v>
      </c>
      <c r="H2" s="19">
        <v>0</v>
      </c>
      <c r="I2" s="19">
        <v>4.82</v>
      </c>
      <c r="J2" s="46">
        <v>2.19090909090909</v>
      </c>
      <c r="K2" s="19">
        <v>18</v>
      </c>
      <c r="L2" s="8"/>
      <c r="M2" s="8"/>
      <c r="N2" s="8"/>
      <c r="O2" s="3"/>
      <c r="P2" s="7"/>
      <c r="Q2" s="7"/>
      <c r="R2" s="7"/>
    </row>
    <row r="3" spans="1:26" ht="13.5">
      <c r="A3" s="19">
        <v>1.7999999999999999E-2</v>
      </c>
      <c r="B3" s="21">
        <v>0</v>
      </c>
      <c r="C3" s="48">
        <v>36526</v>
      </c>
      <c r="D3" s="19" t="s">
        <v>5</v>
      </c>
      <c r="E3" s="19" t="s">
        <v>2</v>
      </c>
      <c r="F3" s="19" t="s">
        <v>12</v>
      </c>
      <c r="G3" s="19">
        <v>1.7999999999999999E-2</v>
      </c>
      <c r="H3" s="19">
        <v>0</v>
      </c>
      <c r="I3" s="19">
        <v>4.82</v>
      </c>
      <c r="J3" s="46">
        <v>2.19090909090909</v>
      </c>
      <c r="K3" s="19">
        <v>16</v>
      </c>
      <c r="L3" s="8"/>
      <c r="M3" s="8"/>
      <c r="N3" s="8"/>
      <c r="O3" s="3"/>
      <c r="P3" s="7"/>
      <c r="Q3" s="7"/>
      <c r="R3" s="7"/>
    </row>
    <row r="4" spans="1:26" ht="12.6" customHeight="1">
      <c r="A4" s="19">
        <v>2.7E-2</v>
      </c>
      <c r="B4" s="21">
        <v>0</v>
      </c>
      <c r="C4" s="48">
        <v>36526</v>
      </c>
      <c r="D4" s="19" t="s">
        <v>5</v>
      </c>
      <c r="E4" s="19" t="s">
        <v>2</v>
      </c>
      <c r="F4" s="19" t="s">
        <v>12</v>
      </c>
      <c r="G4" s="19">
        <v>2.7E-2</v>
      </c>
      <c r="H4" s="19">
        <v>0</v>
      </c>
      <c r="I4" s="19">
        <v>4.82</v>
      </c>
      <c r="J4" s="46">
        <v>2.19090909090909</v>
      </c>
      <c r="K4" s="19">
        <v>12</v>
      </c>
      <c r="L4" s="3"/>
      <c r="M4" s="3"/>
      <c r="N4" s="3"/>
      <c r="O4" s="3"/>
      <c r="P4" s="4"/>
      <c r="Q4" s="4"/>
      <c r="R4" s="4"/>
    </row>
    <row r="5" spans="1:26" ht="13.5">
      <c r="A5" s="19">
        <v>3.15E-2</v>
      </c>
      <c r="B5" s="21">
        <v>0</v>
      </c>
      <c r="C5" s="48">
        <v>36526</v>
      </c>
      <c r="D5" s="19" t="s">
        <v>5</v>
      </c>
      <c r="E5" s="19" t="s">
        <v>2</v>
      </c>
      <c r="F5" s="19" t="s">
        <v>12</v>
      </c>
      <c r="G5" s="19">
        <v>3.15E-2</v>
      </c>
      <c r="H5" s="19">
        <v>0</v>
      </c>
      <c r="I5" s="19">
        <v>4.82</v>
      </c>
      <c r="J5" s="46">
        <v>2.19090909090909</v>
      </c>
      <c r="K5" s="19">
        <v>9</v>
      </c>
      <c r="P5" s="6"/>
      <c r="Q5" s="6"/>
      <c r="R5" s="6"/>
    </row>
    <row r="6" spans="1:26" ht="13.5">
      <c r="A6" s="19">
        <v>4.4999999999999998E-2</v>
      </c>
      <c r="B6" s="21">
        <v>0</v>
      </c>
      <c r="C6" s="48">
        <v>36526</v>
      </c>
      <c r="D6" s="19" t="s">
        <v>5</v>
      </c>
      <c r="E6" s="19" t="s">
        <v>2</v>
      </c>
      <c r="F6" s="19" t="s">
        <v>12</v>
      </c>
      <c r="G6" s="19">
        <v>4.4999999999999998E-2</v>
      </c>
      <c r="H6" s="19">
        <v>0</v>
      </c>
      <c r="I6" s="19">
        <v>4.82</v>
      </c>
      <c r="J6" s="46">
        <v>2.19090909090909</v>
      </c>
      <c r="K6" s="19">
        <v>6</v>
      </c>
    </row>
    <row r="7" spans="1:26" ht="13.5">
      <c r="A7" s="19">
        <v>6.25E-2</v>
      </c>
      <c r="B7" s="21">
        <v>0</v>
      </c>
      <c r="C7" s="48">
        <v>36526</v>
      </c>
      <c r="D7" s="19" t="s">
        <v>5</v>
      </c>
      <c r="E7" s="19" t="s">
        <v>2</v>
      </c>
      <c r="F7" s="19" t="s">
        <v>12</v>
      </c>
      <c r="G7" s="19">
        <v>6.25E-2</v>
      </c>
      <c r="H7" s="19">
        <v>0</v>
      </c>
      <c r="I7" s="19">
        <v>4.82</v>
      </c>
      <c r="J7" s="46">
        <v>2.19090909090909</v>
      </c>
      <c r="K7" s="19">
        <v>1</v>
      </c>
    </row>
    <row r="8" spans="1:26" ht="13.5">
      <c r="A8" s="19" t="s">
        <v>70</v>
      </c>
      <c r="B8" s="21">
        <v>0</v>
      </c>
      <c r="C8" s="48">
        <v>65535</v>
      </c>
      <c r="D8" s="19" t="s">
        <v>5</v>
      </c>
      <c r="E8" s="19" t="s">
        <v>2</v>
      </c>
      <c r="F8" s="19" t="s">
        <v>8</v>
      </c>
      <c r="G8" s="19">
        <v>9.9299999999999999E-2</v>
      </c>
      <c r="H8" s="19">
        <v>9.9299999999999999E-2</v>
      </c>
      <c r="I8" s="19">
        <v>4.8099999999999996</v>
      </c>
      <c r="J8" s="46">
        <v>2.1863636363636401</v>
      </c>
      <c r="K8" s="19">
        <v>91</v>
      </c>
    </row>
    <row r="9" spans="1:26" ht="13.5">
      <c r="A9" s="19" t="s">
        <v>74</v>
      </c>
      <c r="B9" s="21">
        <v>9.8765000000000001</v>
      </c>
      <c r="C9" s="48">
        <v>45961</v>
      </c>
      <c r="D9" s="19" t="s">
        <v>5</v>
      </c>
      <c r="E9" s="19" t="s">
        <v>2</v>
      </c>
      <c r="F9" s="19" t="s">
        <v>9</v>
      </c>
      <c r="G9" s="19">
        <v>0.106</v>
      </c>
      <c r="H9" s="19">
        <v>0.20799999999999999</v>
      </c>
      <c r="I9" s="19">
        <v>5.91</v>
      </c>
      <c r="J9" s="46">
        <v>7.17568181818182</v>
      </c>
      <c r="K9" s="19">
        <v>95</v>
      </c>
    </row>
    <row r="10" spans="1:26" ht="13.5">
      <c r="A10" s="19" t="s">
        <v>76</v>
      </c>
      <c r="B10" s="21">
        <v>5.2786</v>
      </c>
      <c r="C10" s="48">
        <v>45565</v>
      </c>
      <c r="D10" s="19" t="s">
        <v>5</v>
      </c>
      <c r="E10" s="19" t="s">
        <v>2</v>
      </c>
      <c r="F10" s="19" t="s">
        <v>9</v>
      </c>
      <c r="G10" s="19">
        <v>0.106</v>
      </c>
      <c r="H10" s="19">
        <v>0.31</v>
      </c>
      <c r="I10" s="19">
        <v>5.91</v>
      </c>
      <c r="J10" s="46">
        <v>5.0857272727272704</v>
      </c>
      <c r="K10" s="19">
        <v>97</v>
      </c>
    </row>
    <row r="11" spans="1:26" ht="13.5">
      <c r="A11" s="19" t="s">
        <v>71</v>
      </c>
      <c r="B11" s="21">
        <v>5.0236999999999998</v>
      </c>
      <c r="C11" s="48">
        <v>44834</v>
      </c>
      <c r="D11" s="19" t="s">
        <v>5</v>
      </c>
      <c r="E11" s="19" t="s">
        <v>2</v>
      </c>
      <c r="F11" s="19" t="s">
        <v>8</v>
      </c>
      <c r="G11" s="19">
        <v>0.10539999999999999</v>
      </c>
      <c r="H11" s="19">
        <v>0.10539999999999999</v>
      </c>
      <c r="I11" s="19">
        <v>4.8099999999999996</v>
      </c>
      <c r="J11" s="46">
        <v>4.4698636363636401</v>
      </c>
      <c r="K11" s="19">
        <v>92</v>
      </c>
    </row>
    <row r="12" spans="1:26" ht="13.5">
      <c r="A12" s="19" t="s">
        <v>68</v>
      </c>
      <c r="B12" s="21">
        <v>0</v>
      </c>
      <c r="C12" s="48">
        <v>36526</v>
      </c>
      <c r="D12" s="19" t="s">
        <v>5</v>
      </c>
      <c r="E12" s="19" t="s">
        <v>2</v>
      </c>
      <c r="F12" s="19" t="s">
        <v>8</v>
      </c>
      <c r="G12" s="19">
        <v>8.8700000000000001E-2</v>
      </c>
      <c r="H12" s="19">
        <v>8.8700000000000001E-2</v>
      </c>
      <c r="I12" s="19">
        <v>4.8099999999999996</v>
      </c>
      <c r="J12" s="46">
        <v>2.1863636363636401</v>
      </c>
      <c r="K12" s="19">
        <v>89</v>
      </c>
    </row>
    <row r="13" spans="1:26" ht="13.5">
      <c r="A13" s="19" t="s">
        <v>75</v>
      </c>
      <c r="B13" s="21">
        <v>9.5709999999999997</v>
      </c>
      <c r="C13" s="48">
        <v>45996</v>
      </c>
      <c r="D13" s="19" t="s">
        <v>5</v>
      </c>
      <c r="E13" s="19" t="s">
        <v>2</v>
      </c>
      <c r="F13" s="19" t="s">
        <v>9</v>
      </c>
      <c r="G13" s="19">
        <v>0.11799999999999999</v>
      </c>
      <c r="H13" s="19">
        <v>0.23300000000000001</v>
      </c>
      <c r="I13" s="19">
        <v>5.91</v>
      </c>
      <c r="J13" s="46">
        <v>7.0368181818181803</v>
      </c>
      <c r="K13" s="19">
        <v>96</v>
      </c>
    </row>
    <row r="14" spans="1:26" ht="13.5">
      <c r="A14" s="19" t="s">
        <v>73</v>
      </c>
      <c r="B14" s="21">
        <v>0</v>
      </c>
      <c r="C14" s="48">
        <v>36526</v>
      </c>
      <c r="D14" s="19" t="s">
        <v>5</v>
      </c>
      <c r="E14" s="19" t="s">
        <v>2</v>
      </c>
      <c r="F14" s="19" t="s">
        <v>9</v>
      </c>
      <c r="G14" s="19">
        <v>0.12</v>
      </c>
      <c r="H14" s="19">
        <v>0.30399999999999999</v>
      </c>
      <c r="I14" s="19">
        <v>5.91</v>
      </c>
      <c r="J14" s="46">
        <v>2.6863636363636401</v>
      </c>
      <c r="K14" s="19">
        <v>94</v>
      </c>
    </row>
    <row r="15" spans="1:26" ht="13.5">
      <c r="A15" s="19" t="s">
        <v>69</v>
      </c>
      <c r="B15" s="21">
        <v>7.2283999999999997</v>
      </c>
      <c r="C15" s="48">
        <v>45989</v>
      </c>
      <c r="D15" s="19" t="s">
        <v>5</v>
      </c>
      <c r="E15" s="19" t="s">
        <v>2</v>
      </c>
      <c r="F15" s="19" t="s">
        <v>8</v>
      </c>
      <c r="G15" s="19">
        <v>9.4200000000000006E-2</v>
      </c>
      <c r="H15" s="19">
        <v>9.4200000000000006E-2</v>
      </c>
      <c r="I15" s="19">
        <v>4.8099999999999996</v>
      </c>
      <c r="J15" s="46">
        <v>5.4720000000000004</v>
      </c>
      <c r="K15" s="19">
        <v>90</v>
      </c>
    </row>
    <row r="16" spans="1:26" ht="13.5">
      <c r="A16" s="19" t="s">
        <v>66</v>
      </c>
      <c r="B16" s="21">
        <v>3.9722</v>
      </c>
      <c r="C16" s="48">
        <v>44042</v>
      </c>
      <c r="D16" s="19" t="s">
        <v>5</v>
      </c>
      <c r="E16" s="19" t="s">
        <v>2</v>
      </c>
      <c r="F16" s="19" t="s">
        <v>8</v>
      </c>
      <c r="G16" s="19">
        <v>7.9299999999999995E-2</v>
      </c>
      <c r="H16" s="19">
        <v>7.9299999999999995E-2</v>
      </c>
      <c r="I16" s="19">
        <v>4.8099999999999996</v>
      </c>
      <c r="J16" s="46">
        <v>3.9919090909090902</v>
      </c>
      <c r="K16" s="19">
        <v>87</v>
      </c>
    </row>
    <row r="17" spans="1:11" ht="13.5">
      <c r="A17" s="19" t="s">
        <v>77</v>
      </c>
      <c r="B17" s="21">
        <v>9.1584000000000003</v>
      </c>
      <c r="C17" s="48">
        <v>45996</v>
      </c>
      <c r="D17" s="19" t="s">
        <v>5</v>
      </c>
      <c r="E17" s="19" t="s">
        <v>2</v>
      </c>
      <c r="F17" s="19" t="s">
        <v>9</v>
      </c>
      <c r="G17" s="19">
        <v>0.13200000000000001</v>
      </c>
      <c r="H17" s="19">
        <v>0.26</v>
      </c>
      <c r="I17" s="19">
        <v>5.91</v>
      </c>
      <c r="J17" s="46">
        <v>6.8492727272727301</v>
      </c>
      <c r="K17" s="19">
        <v>98</v>
      </c>
    </row>
    <row r="18" spans="1:11" ht="13.5">
      <c r="A18" s="19" t="s">
        <v>78</v>
      </c>
      <c r="B18" s="21">
        <v>8.8978000000000002</v>
      </c>
      <c r="C18" s="48">
        <v>45973</v>
      </c>
      <c r="D18" s="19" t="s">
        <v>5</v>
      </c>
      <c r="E18" s="19" t="s">
        <v>2</v>
      </c>
      <c r="F18" s="19" t="s">
        <v>9</v>
      </c>
      <c r="G18" s="19">
        <v>0.13200000000000001</v>
      </c>
      <c r="H18" s="19">
        <v>0.32900000000000001</v>
      </c>
      <c r="I18" s="19">
        <v>5.91</v>
      </c>
      <c r="J18" s="46">
        <v>6.7308181818181803</v>
      </c>
      <c r="K18" s="19">
        <v>99</v>
      </c>
    </row>
    <row r="19" spans="1:11" ht="13.5">
      <c r="A19" s="19" t="s">
        <v>82</v>
      </c>
      <c r="B19" s="21">
        <v>8.1837999999999997</v>
      </c>
      <c r="C19" s="48">
        <v>45930</v>
      </c>
      <c r="D19" s="19" t="s">
        <v>5</v>
      </c>
      <c r="E19" s="19" t="s">
        <v>2</v>
      </c>
      <c r="F19" s="19" t="s">
        <v>9</v>
      </c>
      <c r="G19" s="19">
        <v>0.13200000000000001</v>
      </c>
      <c r="H19" s="19">
        <v>0.46400000000000002</v>
      </c>
      <c r="I19" s="19">
        <v>5.91</v>
      </c>
      <c r="J19" s="46">
        <v>6.4062727272727296</v>
      </c>
      <c r="K19" s="19">
        <v>103</v>
      </c>
    </row>
    <row r="20" spans="1:11" ht="13.5">
      <c r="A20" s="19" t="s">
        <v>67</v>
      </c>
      <c r="B20" s="21">
        <v>3.2963</v>
      </c>
      <c r="C20" s="48">
        <v>44834</v>
      </c>
      <c r="D20" s="19" t="s">
        <v>5</v>
      </c>
      <c r="E20" s="19" t="s">
        <v>2</v>
      </c>
      <c r="F20" s="19" t="s">
        <v>8</v>
      </c>
      <c r="G20" s="19">
        <v>8.4199999999999997E-2</v>
      </c>
      <c r="H20" s="19">
        <v>8.4199999999999997E-2</v>
      </c>
      <c r="I20" s="19">
        <v>4.8099999999999996</v>
      </c>
      <c r="J20" s="46">
        <v>3.6846818181818199</v>
      </c>
      <c r="K20" s="19">
        <v>88</v>
      </c>
    </row>
    <row r="21" spans="1:11" ht="13.5">
      <c r="A21" s="19" t="s">
        <v>65</v>
      </c>
      <c r="B21" s="21">
        <v>7.2808000000000002</v>
      </c>
      <c r="C21" s="48">
        <v>45989</v>
      </c>
      <c r="D21" s="19" t="s">
        <v>5</v>
      </c>
      <c r="E21" s="19" t="s">
        <v>2</v>
      </c>
      <c r="F21" s="19" t="s">
        <v>8</v>
      </c>
      <c r="G21" s="19">
        <v>7.5399999999999995E-2</v>
      </c>
      <c r="H21" s="19">
        <v>7.5399999999999995E-2</v>
      </c>
      <c r="I21" s="19">
        <v>4.8099999999999996</v>
      </c>
      <c r="J21" s="46">
        <v>5.4958181818181799</v>
      </c>
      <c r="K21" s="19">
        <v>86</v>
      </c>
    </row>
    <row r="22" spans="1:11" ht="13.5">
      <c r="A22" s="19" t="s">
        <v>79</v>
      </c>
      <c r="B22" s="21">
        <v>6.4683000000000002</v>
      </c>
      <c r="C22" s="48">
        <v>45565</v>
      </c>
      <c r="D22" s="19" t="s">
        <v>5</v>
      </c>
      <c r="E22" s="19" t="s">
        <v>2</v>
      </c>
      <c r="F22" s="19" t="s">
        <v>9</v>
      </c>
      <c r="G22" s="19">
        <v>0.14799999999999999</v>
      </c>
      <c r="H22" s="19">
        <v>0.29299999999999998</v>
      </c>
      <c r="I22" s="19">
        <v>5.91</v>
      </c>
      <c r="J22" s="46">
        <v>5.6265000000000001</v>
      </c>
      <c r="K22" s="19">
        <v>100</v>
      </c>
    </row>
    <row r="23" spans="1:11" ht="13.5">
      <c r="A23" s="19" t="s">
        <v>80</v>
      </c>
      <c r="B23" s="21">
        <v>8.8573000000000004</v>
      </c>
      <c r="C23" s="48">
        <v>45989</v>
      </c>
      <c r="D23" s="19" t="s">
        <v>5</v>
      </c>
      <c r="E23" s="19" t="s">
        <v>2</v>
      </c>
      <c r="F23" s="19" t="s">
        <v>9</v>
      </c>
      <c r="G23" s="19">
        <v>0.14799999999999999</v>
      </c>
      <c r="H23" s="19">
        <v>0.32900000000000001</v>
      </c>
      <c r="I23" s="19">
        <v>5.91</v>
      </c>
      <c r="J23" s="46">
        <v>6.7124090909090901</v>
      </c>
      <c r="K23" s="19">
        <v>101</v>
      </c>
    </row>
    <row r="24" spans="1:11" ht="13.5">
      <c r="A24" s="19" t="s">
        <v>81</v>
      </c>
      <c r="B24" s="21">
        <v>8.0251000000000001</v>
      </c>
      <c r="C24" s="48">
        <v>45930</v>
      </c>
      <c r="D24" s="19" t="s">
        <v>5</v>
      </c>
      <c r="E24" s="19" t="s">
        <v>2</v>
      </c>
      <c r="F24" s="19" t="s">
        <v>9</v>
      </c>
      <c r="G24" s="19">
        <v>0.14799999999999999</v>
      </c>
      <c r="H24" s="19">
        <v>0.36899999999999999</v>
      </c>
      <c r="I24" s="19">
        <v>5.91</v>
      </c>
      <c r="J24" s="46">
        <v>6.3341363636363601</v>
      </c>
      <c r="K24" s="19">
        <v>102</v>
      </c>
    </row>
    <row r="25" spans="1:11" ht="13.5">
      <c r="A25" s="19" t="s">
        <v>83</v>
      </c>
      <c r="B25" s="21">
        <v>5.1882000000000001</v>
      </c>
      <c r="C25" s="48">
        <v>45930</v>
      </c>
      <c r="D25" s="19" t="s">
        <v>5</v>
      </c>
      <c r="E25" s="19" t="s">
        <v>2</v>
      </c>
      <c r="F25" s="19" t="s">
        <v>9</v>
      </c>
      <c r="G25" s="19">
        <v>0.14799999999999999</v>
      </c>
      <c r="H25" s="19">
        <v>0.41399999999999998</v>
      </c>
      <c r="I25" s="19">
        <v>5.91</v>
      </c>
      <c r="J25" s="46">
        <v>5.0446363636363598</v>
      </c>
      <c r="K25" s="19">
        <v>104</v>
      </c>
    </row>
    <row r="26" spans="1:11" ht="13.5">
      <c r="A26" s="19" t="s">
        <v>64</v>
      </c>
      <c r="B26" s="21">
        <v>5.3836000000000004</v>
      </c>
      <c r="C26" s="48">
        <v>44042</v>
      </c>
      <c r="D26" s="19" t="s">
        <v>5</v>
      </c>
      <c r="E26" s="19" t="s">
        <v>2</v>
      </c>
      <c r="F26" s="19" t="s">
        <v>8</v>
      </c>
      <c r="G26" s="19">
        <v>6.7500000000000004E-2</v>
      </c>
      <c r="H26" s="19">
        <v>6.7500000000000004E-2</v>
      </c>
      <c r="I26" s="19">
        <v>4.8099999999999996</v>
      </c>
      <c r="J26" s="46">
        <v>4.6334545454545504</v>
      </c>
      <c r="K26" s="19">
        <v>85</v>
      </c>
    </row>
    <row r="27" spans="1:11" ht="13.5">
      <c r="A27" s="19" t="s">
        <v>63</v>
      </c>
      <c r="B27" s="21">
        <v>7.6497000000000002</v>
      </c>
      <c r="C27" s="48">
        <v>45996</v>
      </c>
      <c r="D27" s="19" t="s">
        <v>5</v>
      </c>
      <c r="E27" s="19" t="s">
        <v>2</v>
      </c>
      <c r="F27" s="19" t="s">
        <v>8</v>
      </c>
      <c r="G27" s="19">
        <v>6.0299999999999999E-2</v>
      </c>
      <c r="H27" s="19">
        <v>6.0299999999999999E-2</v>
      </c>
      <c r="I27" s="19">
        <v>4.8099999999999996</v>
      </c>
      <c r="J27" s="46">
        <v>5.6635</v>
      </c>
      <c r="K27" s="19">
        <v>84</v>
      </c>
    </row>
    <row r="28" spans="1:11" ht="13.5">
      <c r="A28" s="19" t="s">
        <v>84</v>
      </c>
      <c r="B28" s="21">
        <v>8.6660000000000004</v>
      </c>
      <c r="C28" s="48">
        <v>45996</v>
      </c>
      <c r="D28" s="19" t="s">
        <v>5</v>
      </c>
      <c r="E28" s="19" t="s">
        <v>2</v>
      </c>
      <c r="F28" s="19" t="s">
        <v>9</v>
      </c>
      <c r="G28" s="19">
        <v>0.16600000000000001</v>
      </c>
      <c r="H28" s="19">
        <v>0.46400000000000002</v>
      </c>
      <c r="I28" s="19">
        <v>5.91</v>
      </c>
      <c r="J28" s="46">
        <v>6.6254545454545504</v>
      </c>
      <c r="K28" s="19">
        <v>105</v>
      </c>
    </row>
    <row r="29" spans="1:11" ht="13.5">
      <c r="A29" s="19" t="s">
        <v>62</v>
      </c>
      <c r="B29" s="21">
        <v>0</v>
      </c>
      <c r="C29" s="48">
        <v>65535</v>
      </c>
      <c r="D29" s="19" t="s">
        <v>5</v>
      </c>
      <c r="E29" s="19" t="s">
        <v>2</v>
      </c>
      <c r="F29" s="19" t="s">
        <v>8</v>
      </c>
      <c r="G29" s="19">
        <v>5.3900000000000003E-2</v>
      </c>
      <c r="H29" s="19">
        <v>5.3900000000000003E-2</v>
      </c>
      <c r="I29" s="19">
        <v>4.8099999999999996</v>
      </c>
      <c r="J29" s="46">
        <v>2.1863636363636401</v>
      </c>
      <c r="K29" s="19">
        <v>83</v>
      </c>
    </row>
    <row r="30" spans="1:11" ht="13.5">
      <c r="A30" s="19" t="s">
        <v>61</v>
      </c>
      <c r="B30" s="21">
        <v>7.5064000000000002</v>
      </c>
      <c r="C30" s="48">
        <v>45954</v>
      </c>
      <c r="D30" s="19" t="s">
        <v>5</v>
      </c>
      <c r="E30" s="19" t="s">
        <v>2</v>
      </c>
      <c r="F30" s="19" t="s">
        <v>8</v>
      </c>
      <c r="G30" s="19">
        <v>4.82E-2</v>
      </c>
      <c r="H30" s="19">
        <v>4.82E-2</v>
      </c>
      <c r="I30" s="19">
        <v>4.8099999999999996</v>
      </c>
      <c r="J30" s="46">
        <v>5.59836363636364</v>
      </c>
      <c r="K30" s="19">
        <v>82</v>
      </c>
    </row>
    <row r="31" spans="1:11" ht="13.5">
      <c r="A31" s="19" t="s">
        <v>60</v>
      </c>
      <c r="B31" s="21">
        <v>7.1824000000000003</v>
      </c>
      <c r="C31" s="48">
        <v>45869</v>
      </c>
      <c r="D31" s="19" t="s">
        <v>5</v>
      </c>
      <c r="E31" s="19" t="s">
        <v>2</v>
      </c>
      <c r="F31" s="19" t="s">
        <v>8</v>
      </c>
      <c r="G31" s="19">
        <v>4.3099999999999999E-2</v>
      </c>
      <c r="H31" s="19">
        <v>4.3099999999999999E-2</v>
      </c>
      <c r="I31" s="19">
        <v>4.8099999999999996</v>
      </c>
      <c r="J31" s="46">
        <v>5.4510909090909099</v>
      </c>
      <c r="K31" s="19">
        <v>81</v>
      </c>
    </row>
    <row r="32" spans="1:11" ht="13.5">
      <c r="A32" s="19" t="s">
        <v>59</v>
      </c>
      <c r="B32" s="21">
        <v>8.1285000000000007</v>
      </c>
      <c r="C32" s="48">
        <v>46009</v>
      </c>
      <c r="D32" s="19" t="s">
        <v>5</v>
      </c>
      <c r="E32" s="19" t="s">
        <v>2</v>
      </c>
      <c r="F32" s="19" t="s">
        <v>8</v>
      </c>
      <c r="G32" s="19">
        <v>3.85E-2</v>
      </c>
      <c r="H32" s="19">
        <v>3.85E-2</v>
      </c>
      <c r="I32" s="19">
        <v>4.8099999999999996</v>
      </c>
      <c r="J32" s="46">
        <v>5.8402272727272697</v>
      </c>
      <c r="K32" s="19">
        <v>80</v>
      </c>
    </row>
    <row r="33" spans="1:11" ht="13.5">
      <c r="A33" s="19" t="s">
        <v>72</v>
      </c>
      <c r="B33" s="21">
        <v>5.7565999999999997</v>
      </c>
      <c r="C33" s="48">
        <v>45930</v>
      </c>
      <c r="D33" s="19" t="s">
        <v>5</v>
      </c>
      <c r="E33" s="19" t="s">
        <v>2</v>
      </c>
      <c r="F33" s="19" t="s">
        <v>8</v>
      </c>
      <c r="G33" s="19">
        <v>0.1179</v>
      </c>
      <c r="H33" s="19">
        <v>0.1179</v>
      </c>
      <c r="I33" s="19">
        <v>4.8099999999999996</v>
      </c>
      <c r="J33" s="46">
        <v>4.8029999999999999</v>
      </c>
      <c r="K33" s="19">
        <v>93</v>
      </c>
    </row>
    <row r="34" spans="1:11" ht="13.5">
      <c r="A34" s="19">
        <v>3.0000000000000001E-3</v>
      </c>
      <c r="B34" s="21">
        <v>0</v>
      </c>
      <c r="C34" s="48">
        <v>36526</v>
      </c>
      <c r="D34" s="19" t="s">
        <v>6</v>
      </c>
      <c r="E34" s="19" t="s">
        <v>2</v>
      </c>
      <c r="F34" s="19" t="s">
        <v>12</v>
      </c>
      <c r="G34" s="19">
        <v>3.0000000000000001E-3</v>
      </c>
      <c r="H34" s="19">
        <v>0</v>
      </c>
      <c r="I34" s="19">
        <v>14.01</v>
      </c>
      <c r="J34" s="46">
        <v>6.3681818181818199</v>
      </c>
      <c r="K34" s="19">
        <v>47</v>
      </c>
    </row>
    <row r="35" spans="1:11" ht="13.5">
      <c r="A35" s="19">
        <v>5.0000000000000001E-3</v>
      </c>
      <c r="B35" s="21">
        <v>0</v>
      </c>
      <c r="C35" s="48">
        <v>36526</v>
      </c>
      <c r="D35" s="19" t="s">
        <v>6</v>
      </c>
      <c r="E35" s="19" t="s">
        <v>2</v>
      </c>
      <c r="F35" s="19" t="s">
        <v>12</v>
      </c>
      <c r="G35" s="19">
        <v>5.0000000000000001E-3</v>
      </c>
      <c r="H35" s="19">
        <v>0</v>
      </c>
      <c r="I35" s="19">
        <v>14.01</v>
      </c>
      <c r="J35" s="46">
        <v>6.3681818181818199</v>
      </c>
      <c r="K35" s="19">
        <v>46</v>
      </c>
    </row>
    <row r="36" spans="1:11" ht="13.5">
      <c r="A36" s="19">
        <v>6.0000000000000001E-3</v>
      </c>
      <c r="B36" s="21">
        <v>0</v>
      </c>
      <c r="C36" s="48">
        <v>36526</v>
      </c>
      <c r="D36" s="19" t="s">
        <v>6</v>
      </c>
      <c r="E36" s="19" t="s">
        <v>2</v>
      </c>
      <c r="F36" s="19" t="s">
        <v>12</v>
      </c>
      <c r="G36" s="19">
        <v>6.0000000000000001E-3</v>
      </c>
      <c r="H36" s="19">
        <v>0</v>
      </c>
      <c r="I36" s="19">
        <v>14.01</v>
      </c>
      <c r="J36" s="46">
        <v>6.3681818181818199</v>
      </c>
      <c r="K36" s="19">
        <v>45</v>
      </c>
    </row>
    <row r="37" spans="1:11" ht="13.5">
      <c r="A37" s="19">
        <v>7.0000000000000001E-3</v>
      </c>
      <c r="B37" s="21">
        <v>0</v>
      </c>
      <c r="C37" s="48">
        <v>36526</v>
      </c>
      <c r="D37" s="19" t="s">
        <v>6</v>
      </c>
      <c r="E37" s="19" t="s">
        <v>2</v>
      </c>
      <c r="F37" s="19" t="s">
        <v>12</v>
      </c>
      <c r="G37" s="19">
        <v>7.0000000000000001E-3</v>
      </c>
      <c r="H37" s="19">
        <v>0</v>
      </c>
      <c r="I37" s="19">
        <v>14.01</v>
      </c>
      <c r="J37" s="46">
        <v>6.3681818181818199</v>
      </c>
      <c r="K37" s="19">
        <v>44</v>
      </c>
    </row>
    <row r="38" spans="1:11" ht="13.5">
      <c r="A38" s="19">
        <v>0.01</v>
      </c>
      <c r="B38" s="21">
        <v>0</v>
      </c>
      <c r="C38" s="48">
        <v>36526</v>
      </c>
      <c r="D38" s="19" t="s">
        <v>6</v>
      </c>
      <c r="E38" s="19" t="s">
        <v>2</v>
      </c>
      <c r="F38" s="19" t="s">
        <v>12</v>
      </c>
      <c r="G38" s="19">
        <v>0.01</v>
      </c>
      <c r="H38" s="19">
        <v>0</v>
      </c>
      <c r="I38" s="19">
        <v>14.01</v>
      </c>
      <c r="J38" s="46">
        <v>6.3681818181818199</v>
      </c>
      <c r="K38" s="19">
        <v>43</v>
      </c>
    </row>
    <row r="39" spans="1:11" ht="13.5">
      <c r="A39" s="19">
        <v>1.2E-2</v>
      </c>
      <c r="B39" s="21">
        <v>0</v>
      </c>
      <c r="C39" s="48">
        <v>36526</v>
      </c>
      <c r="D39" s="19" t="s">
        <v>6</v>
      </c>
      <c r="E39" s="19" t="s">
        <v>2</v>
      </c>
      <c r="F39" s="19" t="s">
        <v>12</v>
      </c>
      <c r="G39" s="19">
        <v>1.2E-2</v>
      </c>
      <c r="H39" s="19">
        <v>0</v>
      </c>
      <c r="I39" s="19">
        <v>14.01</v>
      </c>
      <c r="J39" s="46">
        <v>6.3681818181818199</v>
      </c>
      <c r="K39" s="19">
        <v>42</v>
      </c>
    </row>
    <row r="40" spans="1:11" ht="13.5">
      <c r="A40" s="19">
        <v>1.2999999999999999E-2</v>
      </c>
      <c r="B40" s="21">
        <v>0</v>
      </c>
      <c r="C40" s="48">
        <v>36526</v>
      </c>
      <c r="D40" s="19" t="s">
        <v>6</v>
      </c>
      <c r="E40" s="19" t="s">
        <v>2</v>
      </c>
      <c r="F40" s="19" t="s">
        <v>12</v>
      </c>
      <c r="G40" s="19">
        <v>1.2999999999999999E-2</v>
      </c>
      <c r="H40" s="19">
        <v>0</v>
      </c>
      <c r="I40" s="19">
        <v>14.01</v>
      </c>
      <c r="J40" s="46">
        <v>6.3681818181818199</v>
      </c>
      <c r="K40" s="19">
        <v>41</v>
      </c>
    </row>
    <row r="41" spans="1:11" ht="13.5">
      <c r="A41" s="19">
        <v>1.55E-2</v>
      </c>
      <c r="B41" s="21">
        <v>0</v>
      </c>
      <c r="C41" s="48">
        <v>36526</v>
      </c>
      <c r="D41" s="19" t="s">
        <v>6</v>
      </c>
      <c r="E41" s="19" t="s">
        <v>2</v>
      </c>
      <c r="F41" s="19" t="s">
        <v>12</v>
      </c>
      <c r="G41" s="19">
        <v>1.55E-2</v>
      </c>
      <c r="H41" s="19">
        <v>0</v>
      </c>
      <c r="I41" s="19">
        <v>14.01</v>
      </c>
      <c r="J41" s="46">
        <v>6.3681818181818199</v>
      </c>
      <c r="K41" s="19">
        <v>40</v>
      </c>
    </row>
    <row r="42" spans="1:11" ht="13.5">
      <c r="A42" s="19">
        <v>0.02</v>
      </c>
      <c r="B42" s="21">
        <v>0</v>
      </c>
      <c r="C42" s="48">
        <v>36526</v>
      </c>
      <c r="D42" s="19" t="s">
        <v>6</v>
      </c>
      <c r="E42" s="19" t="s">
        <v>2</v>
      </c>
      <c r="F42" s="19" t="s">
        <v>12</v>
      </c>
      <c r="G42" s="19">
        <v>0.02</v>
      </c>
      <c r="H42" s="19">
        <v>0</v>
      </c>
      <c r="I42" s="19">
        <v>14.01</v>
      </c>
      <c r="J42" s="46">
        <v>6.3681818181818199</v>
      </c>
      <c r="K42" s="19">
        <v>38</v>
      </c>
    </row>
    <row r="43" spans="1:11" ht="13.5">
      <c r="A43" s="19">
        <v>2.1999999999999999E-2</v>
      </c>
      <c r="B43" s="21">
        <v>0</v>
      </c>
      <c r="C43" s="48">
        <v>36526</v>
      </c>
      <c r="D43" s="19" t="s">
        <v>6</v>
      </c>
      <c r="E43" s="19" t="s">
        <v>2</v>
      </c>
      <c r="F43" s="19" t="s">
        <v>12</v>
      </c>
      <c r="G43" s="19">
        <v>2.1999999999999999E-2</v>
      </c>
      <c r="H43" s="19">
        <v>0</v>
      </c>
      <c r="I43" s="19">
        <v>14.01</v>
      </c>
      <c r="J43" s="46">
        <v>6.3681818181818199</v>
      </c>
      <c r="K43" s="19">
        <v>37</v>
      </c>
    </row>
    <row r="44" spans="1:11" ht="13.5">
      <c r="A44" s="19">
        <v>2.5000000000000001E-2</v>
      </c>
      <c r="B44" s="21">
        <v>0</v>
      </c>
      <c r="C44" s="48">
        <v>36526</v>
      </c>
      <c r="D44" s="19" t="s">
        <v>6</v>
      </c>
      <c r="E44" s="19" t="s">
        <v>2</v>
      </c>
      <c r="F44" s="19" t="s">
        <v>12</v>
      </c>
      <c r="G44" s="19">
        <v>2.5000000000000001E-2</v>
      </c>
      <c r="H44" s="19">
        <v>0</v>
      </c>
      <c r="I44" s="19">
        <v>14.01</v>
      </c>
      <c r="J44" s="46">
        <v>6.3681818181818199</v>
      </c>
      <c r="K44" s="19">
        <v>36</v>
      </c>
    </row>
    <row r="45" spans="1:11" ht="13.5">
      <c r="A45" s="19">
        <v>2.8000000000000001E-2</v>
      </c>
      <c r="B45" s="21">
        <v>0</v>
      </c>
      <c r="C45" s="48">
        <v>36526</v>
      </c>
      <c r="D45" s="19" t="s">
        <v>6</v>
      </c>
      <c r="E45" s="19" t="s">
        <v>2</v>
      </c>
      <c r="F45" s="19" t="s">
        <v>12</v>
      </c>
      <c r="G45" s="19">
        <v>2.8000000000000001E-2</v>
      </c>
      <c r="H45" s="19">
        <v>0</v>
      </c>
      <c r="I45" s="19">
        <v>14.01</v>
      </c>
      <c r="J45" s="46">
        <v>6.3681818181818199</v>
      </c>
      <c r="K45" s="19">
        <v>35</v>
      </c>
    </row>
    <row r="46" spans="1:11" ht="13.5">
      <c r="A46" s="19">
        <v>0.03</v>
      </c>
      <c r="B46" s="21">
        <v>0</v>
      </c>
      <c r="C46" s="48">
        <v>36526</v>
      </c>
      <c r="D46" s="19" t="s">
        <v>6</v>
      </c>
      <c r="E46" s="19" t="s">
        <v>2</v>
      </c>
      <c r="F46" s="19" t="s">
        <v>12</v>
      </c>
      <c r="G46" s="19">
        <v>0.03</v>
      </c>
      <c r="H46" s="19">
        <v>0</v>
      </c>
      <c r="I46" s="19">
        <v>14.01</v>
      </c>
      <c r="J46" s="46">
        <v>6.3681818181818199</v>
      </c>
      <c r="K46" s="19">
        <v>34</v>
      </c>
    </row>
    <row r="47" spans="1:11" ht="13.5">
      <c r="A47" s="19">
        <v>3.2000000000000001E-2</v>
      </c>
      <c r="B47" s="21">
        <v>0</v>
      </c>
      <c r="C47" s="48">
        <v>36526</v>
      </c>
      <c r="D47" s="19" t="s">
        <v>6</v>
      </c>
      <c r="E47" s="19" t="s">
        <v>2</v>
      </c>
      <c r="F47" s="19" t="s">
        <v>12</v>
      </c>
      <c r="G47" s="19">
        <v>3.2000000000000001E-2</v>
      </c>
      <c r="H47" s="19">
        <v>0</v>
      </c>
      <c r="I47" s="19">
        <v>14.01</v>
      </c>
      <c r="J47" s="46">
        <v>6.3681818181818199</v>
      </c>
      <c r="K47" s="19">
        <v>33</v>
      </c>
    </row>
    <row r="48" spans="1:11" ht="13.5">
      <c r="A48" s="19">
        <v>3.5000000000000003E-2</v>
      </c>
      <c r="B48" s="21">
        <v>0</v>
      </c>
      <c r="C48" s="48">
        <v>36526</v>
      </c>
      <c r="D48" s="19" t="s">
        <v>6</v>
      </c>
      <c r="E48" s="19" t="s">
        <v>2</v>
      </c>
      <c r="F48" s="19" t="s">
        <v>12</v>
      </c>
      <c r="G48" s="19">
        <v>3.5000000000000003E-2</v>
      </c>
      <c r="H48" s="19">
        <v>0</v>
      </c>
      <c r="I48" s="19">
        <v>14.01</v>
      </c>
      <c r="J48" s="46">
        <v>6.3681818181818199</v>
      </c>
      <c r="K48" s="19">
        <v>32</v>
      </c>
    </row>
    <row r="49" spans="1:11" ht="13.5">
      <c r="A49" s="19">
        <v>0.04</v>
      </c>
      <c r="B49" s="21">
        <v>0</v>
      </c>
      <c r="C49" s="48">
        <v>36526</v>
      </c>
      <c r="D49" s="19" t="s">
        <v>6</v>
      </c>
      <c r="E49" s="19" t="s">
        <v>2</v>
      </c>
      <c r="F49" s="19" t="s">
        <v>12</v>
      </c>
      <c r="G49" s="19">
        <v>0.04</v>
      </c>
      <c r="H49" s="19">
        <v>0</v>
      </c>
      <c r="I49" s="19">
        <v>14.01</v>
      </c>
      <c r="J49" s="46">
        <v>6.3681818181818199</v>
      </c>
      <c r="K49" s="19">
        <v>31</v>
      </c>
    </row>
    <row r="50" spans="1:11" ht="13.5">
      <c r="A50" s="19">
        <v>4.3999999999999997E-2</v>
      </c>
      <c r="B50" s="21">
        <v>0</v>
      </c>
      <c r="C50" s="48">
        <v>36526</v>
      </c>
      <c r="D50" s="19" t="s">
        <v>6</v>
      </c>
      <c r="E50" s="19" t="s">
        <v>2</v>
      </c>
      <c r="F50" s="19" t="s">
        <v>12</v>
      </c>
      <c r="G50" s="19">
        <v>4.3999999999999997E-2</v>
      </c>
      <c r="H50" s="19">
        <v>0</v>
      </c>
      <c r="I50" s="19">
        <v>14.01</v>
      </c>
      <c r="J50" s="46">
        <v>6.3681818181818199</v>
      </c>
      <c r="K50" s="19">
        <v>30</v>
      </c>
    </row>
    <row r="51" spans="1:11" ht="13.5">
      <c r="A51" s="19">
        <v>4.7E-2</v>
      </c>
      <c r="B51" s="21">
        <v>0</v>
      </c>
      <c r="C51" s="48">
        <v>36526</v>
      </c>
      <c r="D51" s="19" t="s">
        <v>6</v>
      </c>
      <c r="E51" s="19" t="s">
        <v>2</v>
      </c>
      <c r="F51" s="19" t="s">
        <v>12</v>
      </c>
      <c r="G51" s="19">
        <v>4.7E-2</v>
      </c>
      <c r="H51" s="19">
        <v>0</v>
      </c>
      <c r="I51" s="19">
        <v>14.01</v>
      </c>
      <c r="J51" s="46">
        <v>6.3681818181818199</v>
      </c>
      <c r="K51" s="19">
        <v>29</v>
      </c>
    </row>
    <row r="52" spans="1:11" ht="13.5">
      <c r="A52" s="19">
        <v>0.05</v>
      </c>
      <c r="B52" s="21">
        <v>0</v>
      </c>
      <c r="C52" s="48">
        <v>36526</v>
      </c>
      <c r="D52" s="19" t="s">
        <v>6</v>
      </c>
      <c r="E52" s="19" t="s">
        <v>2</v>
      </c>
      <c r="F52" s="19" t="s">
        <v>12</v>
      </c>
      <c r="G52" s="19">
        <v>0.05</v>
      </c>
      <c r="H52" s="19">
        <v>0</v>
      </c>
      <c r="I52" s="19">
        <v>14.01</v>
      </c>
      <c r="J52" s="46">
        <v>6.3681818181818199</v>
      </c>
      <c r="K52" s="19">
        <v>28</v>
      </c>
    </row>
    <row r="53" spans="1:11" ht="13.5">
      <c r="A53" s="19">
        <v>5.5E-2</v>
      </c>
      <c r="B53" s="21">
        <v>0</v>
      </c>
      <c r="C53" s="48">
        <v>36526</v>
      </c>
      <c r="D53" s="19" t="s">
        <v>6</v>
      </c>
      <c r="E53" s="19" t="s">
        <v>2</v>
      </c>
      <c r="F53" s="19" t="s">
        <v>12</v>
      </c>
      <c r="G53" s="19">
        <v>5.5E-2</v>
      </c>
      <c r="H53" s="19">
        <v>0</v>
      </c>
      <c r="I53" s="19">
        <v>14.01</v>
      </c>
      <c r="J53" s="46">
        <v>6.3681818181818199</v>
      </c>
      <c r="K53" s="19">
        <v>27</v>
      </c>
    </row>
    <row r="54" spans="1:11" ht="13.5">
      <c r="A54" s="19">
        <v>0.06</v>
      </c>
      <c r="B54" s="21">
        <v>0</v>
      </c>
      <c r="C54" s="48">
        <v>36526</v>
      </c>
      <c r="D54" s="19" t="s">
        <v>6</v>
      </c>
      <c r="E54" s="19" t="s">
        <v>2</v>
      </c>
      <c r="F54" s="19" t="s">
        <v>12</v>
      </c>
      <c r="G54" s="19">
        <v>0.06</v>
      </c>
      <c r="H54" s="19">
        <v>0</v>
      </c>
      <c r="I54" s="19">
        <v>14.01</v>
      </c>
      <c r="J54" s="46">
        <v>6.3681818181818199</v>
      </c>
      <c r="K54" s="19">
        <v>26</v>
      </c>
    </row>
    <row r="55" spans="1:11" ht="13.5">
      <c r="A55" s="19">
        <v>6.2E-2</v>
      </c>
      <c r="B55" s="21">
        <v>0</v>
      </c>
      <c r="C55" s="48">
        <v>36526</v>
      </c>
      <c r="D55" s="19" t="s">
        <v>6</v>
      </c>
      <c r="E55" s="19" t="s">
        <v>2</v>
      </c>
      <c r="F55" s="19" t="s">
        <v>12</v>
      </c>
      <c r="G55" s="19">
        <v>6.2E-2</v>
      </c>
      <c r="H55" s="19">
        <v>0</v>
      </c>
      <c r="I55" s="19">
        <v>14.01</v>
      </c>
      <c r="J55" s="46">
        <v>6.3681818181818199</v>
      </c>
      <c r="K55" s="19">
        <v>25</v>
      </c>
    </row>
    <row r="56" spans="1:11" ht="13.5">
      <c r="A56" s="19" t="s">
        <v>23</v>
      </c>
      <c r="B56" s="21">
        <v>10.253299999999999</v>
      </c>
      <c r="C56" s="48">
        <v>45930</v>
      </c>
      <c r="D56" s="19" t="s">
        <v>6</v>
      </c>
      <c r="E56" s="19" t="s">
        <v>2</v>
      </c>
      <c r="F56" s="19" t="s">
        <v>9</v>
      </c>
      <c r="G56" s="19">
        <v>7.5999999999999998E-2</v>
      </c>
      <c r="H56" s="19">
        <v>0.14799999999999999</v>
      </c>
      <c r="I56" s="19">
        <v>16.760000000000002</v>
      </c>
      <c r="J56" s="46">
        <v>12.278772727272701</v>
      </c>
      <c r="K56" s="19">
        <v>31</v>
      </c>
    </row>
    <row r="57" spans="1:11" ht="13.5">
      <c r="A57" s="19" t="s">
        <v>24</v>
      </c>
      <c r="B57" s="21">
        <v>10.7295</v>
      </c>
      <c r="C57" s="48">
        <v>46001</v>
      </c>
      <c r="D57" s="19" t="s">
        <v>6</v>
      </c>
      <c r="E57" s="19" t="s">
        <v>2</v>
      </c>
      <c r="F57" s="19" t="s">
        <v>9</v>
      </c>
      <c r="G57" s="19">
        <v>8.5000000000000006E-2</v>
      </c>
      <c r="H57" s="19">
        <v>0.16600000000000001</v>
      </c>
      <c r="I57" s="19">
        <v>16.760000000000002</v>
      </c>
      <c r="J57" s="46">
        <v>12.4952272727273</v>
      </c>
      <c r="K57" s="19">
        <v>32</v>
      </c>
    </row>
    <row r="58" spans="1:11" ht="13.5">
      <c r="A58" s="19" t="s">
        <v>25</v>
      </c>
      <c r="B58" s="21">
        <v>8.5266000000000002</v>
      </c>
      <c r="C58" s="48">
        <v>45930</v>
      </c>
      <c r="D58" s="19" t="s">
        <v>6</v>
      </c>
      <c r="E58" s="19" t="s">
        <v>2</v>
      </c>
      <c r="F58" s="19" t="s">
        <v>9</v>
      </c>
      <c r="G58" s="19">
        <v>9.5000000000000001E-2</v>
      </c>
      <c r="H58" s="19">
        <v>0.186</v>
      </c>
      <c r="I58" s="19">
        <v>16.760000000000002</v>
      </c>
      <c r="J58" s="46">
        <v>11.493909090909099</v>
      </c>
      <c r="K58" s="19">
        <v>33</v>
      </c>
    </row>
    <row r="59" spans="1:11" ht="13.5">
      <c r="A59" s="19" t="s">
        <v>51</v>
      </c>
      <c r="B59" s="21">
        <v>5.7817999999999996</v>
      </c>
      <c r="C59" s="48">
        <v>45930</v>
      </c>
      <c r="D59" s="19" t="s">
        <v>6</v>
      </c>
      <c r="E59" s="19" t="s">
        <v>2</v>
      </c>
      <c r="F59" s="19" t="s">
        <v>8</v>
      </c>
      <c r="G59" s="19">
        <v>9.9299999999999999E-2</v>
      </c>
      <c r="H59" s="19">
        <v>9.9299999999999999E-2</v>
      </c>
      <c r="I59" s="19">
        <v>14.56</v>
      </c>
      <c r="J59" s="46">
        <v>9.2462727272727303</v>
      </c>
      <c r="K59" s="19">
        <v>29</v>
      </c>
    </row>
    <row r="60" spans="1:11" ht="13.5">
      <c r="A60" s="19" t="s">
        <v>26</v>
      </c>
      <c r="B60" s="21">
        <v>9.9251000000000005</v>
      </c>
      <c r="C60" s="48">
        <v>45975</v>
      </c>
      <c r="D60" s="19" t="s">
        <v>6</v>
      </c>
      <c r="E60" s="19" t="s">
        <v>2</v>
      </c>
      <c r="F60" s="19" t="s">
        <v>9</v>
      </c>
      <c r="G60" s="19">
        <v>0.106</v>
      </c>
      <c r="H60" s="19">
        <v>0.20799999999999999</v>
      </c>
      <c r="I60" s="19">
        <v>16.760000000000002</v>
      </c>
      <c r="J60" s="46">
        <v>12.129590909090901</v>
      </c>
      <c r="K60" s="19">
        <v>34</v>
      </c>
    </row>
    <row r="61" spans="1:11" ht="13.5">
      <c r="A61" s="19" t="s">
        <v>28</v>
      </c>
      <c r="B61" s="21">
        <v>9.4794999999999998</v>
      </c>
      <c r="C61" s="48">
        <v>45930</v>
      </c>
      <c r="D61" s="19" t="s">
        <v>6</v>
      </c>
      <c r="E61" s="19" t="s">
        <v>2</v>
      </c>
      <c r="F61" s="19" t="s">
        <v>9</v>
      </c>
      <c r="G61" s="19">
        <v>0.106</v>
      </c>
      <c r="H61" s="19">
        <v>0.31</v>
      </c>
      <c r="I61" s="19">
        <v>16.760000000000002</v>
      </c>
      <c r="J61" s="46">
        <v>11.9270454545455</v>
      </c>
      <c r="K61" s="19">
        <v>36</v>
      </c>
    </row>
    <row r="62" spans="1:11" ht="13.5">
      <c r="A62" s="19" t="s">
        <v>52</v>
      </c>
      <c r="B62" s="21">
        <v>5.9630000000000001</v>
      </c>
      <c r="C62" s="48">
        <v>45199</v>
      </c>
      <c r="D62" s="19" t="s">
        <v>6</v>
      </c>
      <c r="E62" s="19" t="s">
        <v>2</v>
      </c>
      <c r="F62" s="19" t="s">
        <v>8</v>
      </c>
      <c r="G62" s="19">
        <v>0.105</v>
      </c>
      <c r="H62" s="19">
        <v>0.105</v>
      </c>
      <c r="I62" s="19">
        <v>14.56</v>
      </c>
      <c r="J62" s="46">
        <v>9.3286363636363596</v>
      </c>
      <c r="K62" s="19">
        <v>30</v>
      </c>
    </row>
    <row r="63" spans="1:11" ht="13.5">
      <c r="A63" s="19" t="s">
        <v>49</v>
      </c>
      <c r="B63" s="21">
        <v>5.6691000000000003</v>
      </c>
      <c r="C63" s="48">
        <v>44469</v>
      </c>
      <c r="D63" s="19" t="s">
        <v>6</v>
      </c>
      <c r="E63" s="19" t="s">
        <v>2</v>
      </c>
      <c r="F63" s="19" t="s">
        <v>8</v>
      </c>
      <c r="G63" s="19">
        <v>8.8700000000000001E-2</v>
      </c>
      <c r="H63" s="19">
        <v>8.8700000000000001E-2</v>
      </c>
      <c r="I63" s="19">
        <v>14.56</v>
      </c>
      <c r="J63" s="46">
        <v>9.1950454545454505</v>
      </c>
      <c r="K63" s="19">
        <v>27</v>
      </c>
    </row>
    <row r="64" spans="1:11" ht="13.5">
      <c r="A64" s="19" t="s">
        <v>27</v>
      </c>
      <c r="B64" s="21">
        <v>10.121</v>
      </c>
      <c r="C64" s="48">
        <v>46001</v>
      </c>
      <c r="D64" s="19" t="s">
        <v>6</v>
      </c>
      <c r="E64" s="19" t="s">
        <v>2</v>
      </c>
      <c r="F64" s="19" t="s">
        <v>9</v>
      </c>
      <c r="G64" s="19">
        <v>0.11799999999999999</v>
      </c>
      <c r="H64" s="19">
        <v>0.23300000000000001</v>
      </c>
      <c r="I64" s="19">
        <v>16.760000000000002</v>
      </c>
      <c r="J64" s="46">
        <v>12.218636363636399</v>
      </c>
      <c r="K64" s="19">
        <v>35</v>
      </c>
    </row>
    <row r="65" spans="1:11" ht="13.5">
      <c r="A65" s="19" t="s">
        <v>50</v>
      </c>
      <c r="B65" s="21">
        <v>8.8233999999999995</v>
      </c>
      <c r="C65" s="48">
        <v>45930</v>
      </c>
      <c r="D65" s="19" t="s">
        <v>6</v>
      </c>
      <c r="E65" s="19" t="s">
        <v>2</v>
      </c>
      <c r="F65" s="19" t="s">
        <v>8</v>
      </c>
      <c r="G65" s="19">
        <v>9.3799999999999994E-2</v>
      </c>
      <c r="H65" s="19">
        <v>9.3799999999999994E-2</v>
      </c>
      <c r="I65" s="19">
        <v>14.56</v>
      </c>
      <c r="J65" s="46">
        <v>10.6288181818182</v>
      </c>
      <c r="K65" s="19">
        <v>28</v>
      </c>
    </row>
    <row r="66" spans="1:11" ht="13.5">
      <c r="A66" s="19" t="s">
        <v>47</v>
      </c>
      <c r="B66" s="21">
        <v>5.6116000000000001</v>
      </c>
      <c r="C66" s="48">
        <v>44834</v>
      </c>
      <c r="D66" s="19" t="s">
        <v>6</v>
      </c>
      <c r="E66" s="19" t="s">
        <v>2</v>
      </c>
      <c r="F66" s="19" t="s">
        <v>8</v>
      </c>
      <c r="G66" s="19">
        <v>7.9299999999999995E-2</v>
      </c>
      <c r="H66" s="19">
        <v>7.9299999999999995E-2</v>
      </c>
      <c r="I66" s="19">
        <v>14.56</v>
      </c>
      <c r="J66" s="46">
        <v>9.1689090909090893</v>
      </c>
      <c r="K66" s="19">
        <v>25</v>
      </c>
    </row>
    <row r="67" spans="1:11" ht="13.5">
      <c r="A67" s="19" t="s">
        <v>29</v>
      </c>
      <c r="B67" s="21">
        <v>10.233599999999999</v>
      </c>
      <c r="C67" s="48">
        <v>45996</v>
      </c>
      <c r="D67" s="19" t="s">
        <v>6</v>
      </c>
      <c r="E67" s="19" t="s">
        <v>2</v>
      </c>
      <c r="F67" s="19" t="s">
        <v>9</v>
      </c>
      <c r="G67" s="19">
        <v>0.13200000000000001</v>
      </c>
      <c r="H67" s="19">
        <v>0.26</v>
      </c>
      <c r="I67" s="19">
        <v>16.760000000000002</v>
      </c>
      <c r="J67" s="46">
        <v>12.2698181818182</v>
      </c>
      <c r="K67" s="19">
        <v>37</v>
      </c>
    </row>
    <row r="68" spans="1:11" ht="13.5">
      <c r="A68" s="19" t="s">
        <v>30</v>
      </c>
      <c r="B68" s="21">
        <v>10.3895</v>
      </c>
      <c r="C68" s="48">
        <v>46001</v>
      </c>
      <c r="D68" s="19" t="s">
        <v>6</v>
      </c>
      <c r="E68" s="19" t="s">
        <v>2</v>
      </c>
      <c r="F68" s="19" t="s">
        <v>9</v>
      </c>
      <c r="G68" s="19">
        <v>0.13200000000000001</v>
      </c>
      <c r="H68" s="19">
        <v>0.32900000000000001</v>
      </c>
      <c r="I68" s="19">
        <v>16.760000000000002</v>
      </c>
      <c r="J68" s="46">
        <v>12.3406818181818</v>
      </c>
      <c r="K68" s="19">
        <v>38</v>
      </c>
    </row>
    <row r="69" spans="1:11" ht="13.5">
      <c r="A69" s="19" t="s">
        <v>56</v>
      </c>
      <c r="B69" s="21">
        <v>10.1296</v>
      </c>
      <c r="C69" s="48">
        <v>46001</v>
      </c>
      <c r="D69" s="19" t="s">
        <v>6</v>
      </c>
      <c r="E69" s="19" t="s">
        <v>2</v>
      </c>
      <c r="F69" s="19" t="s">
        <v>9</v>
      </c>
      <c r="G69" s="19">
        <v>0.13200000000000001</v>
      </c>
      <c r="H69" s="19">
        <v>0.46400000000000002</v>
      </c>
      <c r="I69" s="19">
        <v>16.760000000000002</v>
      </c>
      <c r="J69" s="46">
        <v>12.2225454545455</v>
      </c>
      <c r="K69" s="19">
        <v>42</v>
      </c>
    </row>
    <row r="70" spans="1:11" ht="13.5">
      <c r="A70" s="19" t="s">
        <v>48</v>
      </c>
      <c r="B70" s="21">
        <v>5.9073000000000002</v>
      </c>
      <c r="C70" s="48">
        <v>44834</v>
      </c>
      <c r="D70" s="19" t="s">
        <v>6</v>
      </c>
      <c r="E70" s="19" t="s">
        <v>2</v>
      </c>
      <c r="F70" s="19" t="s">
        <v>8</v>
      </c>
      <c r="G70" s="19">
        <v>8.3799999999999999E-2</v>
      </c>
      <c r="H70" s="19">
        <v>8.3799999999999999E-2</v>
      </c>
      <c r="I70" s="19">
        <v>14.56</v>
      </c>
      <c r="J70" s="46">
        <v>9.3033181818181792</v>
      </c>
      <c r="K70" s="19">
        <v>26</v>
      </c>
    </row>
    <row r="71" spans="1:11" ht="13.5">
      <c r="A71" s="19" t="s">
        <v>46</v>
      </c>
      <c r="B71" s="21">
        <v>8.2577999999999996</v>
      </c>
      <c r="C71" s="48">
        <v>45930</v>
      </c>
      <c r="D71" s="19" t="s">
        <v>6</v>
      </c>
      <c r="E71" s="19" t="s">
        <v>2</v>
      </c>
      <c r="F71" s="19" t="s">
        <v>8</v>
      </c>
      <c r="G71" s="19">
        <v>7.4899999999999994E-2</v>
      </c>
      <c r="H71" s="19">
        <v>7.4899999999999994E-2</v>
      </c>
      <c r="I71" s="19">
        <v>14.56</v>
      </c>
      <c r="J71" s="46">
        <v>10.3717272727273</v>
      </c>
      <c r="K71" s="19">
        <v>24</v>
      </c>
    </row>
    <row r="72" spans="1:11" ht="13.5">
      <c r="A72" s="19" t="s">
        <v>53</v>
      </c>
      <c r="B72" s="21">
        <v>6.923</v>
      </c>
      <c r="C72" s="48">
        <v>45199</v>
      </c>
      <c r="D72" s="19" t="s">
        <v>6</v>
      </c>
      <c r="E72" s="19" t="s">
        <v>2</v>
      </c>
      <c r="F72" s="19" t="s">
        <v>9</v>
      </c>
      <c r="G72" s="19">
        <v>0.14799999999999999</v>
      </c>
      <c r="H72" s="19">
        <v>0.29299999999999998</v>
      </c>
      <c r="I72" s="19">
        <v>16.760000000000002</v>
      </c>
      <c r="J72" s="46">
        <v>10.765000000000001</v>
      </c>
      <c r="K72" s="19">
        <v>39</v>
      </c>
    </row>
    <row r="73" spans="1:11" ht="13.5">
      <c r="A73" s="19" t="s">
        <v>54</v>
      </c>
      <c r="B73" s="21">
        <v>9.8480000000000008</v>
      </c>
      <c r="C73" s="48">
        <v>45961</v>
      </c>
      <c r="D73" s="19" t="s">
        <v>6</v>
      </c>
      <c r="E73" s="19" t="s">
        <v>2</v>
      </c>
      <c r="F73" s="19" t="s">
        <v>9</v>
      </c>
      <c r="G73" s="19">
        <v>0.14799999999999999</v>
      </c>
      <c r="H73" s="19">
        <v>0.32900000000000001</v>
      </c>
      <c r="I73" s="19">
        <v>16.760000000000002</v>
      </c>
      <c r="J73" s="46">
        <v>12.0945454545455</v>
      </c>
      <c r="K73" s="19">
        <v>40</v>
      </c>
    </row>
    <row r="74" spans="1:11" ht="13.5">
      <c r="A74" s="19" t="s">
        <v>55</v>
      </c>
      <c r="B74" s="21">
        <v>9.8396000000000008</v>
      </c>
      <c r="C74" s="48">
        <v>45989</v>
      </c>
      <c r="D74" s="19" t="s">
        <v>6</v>
      </c>
      <c r="E74" s="19" t="s">
        <v>2</v>
      </c>
      <c r="F74" s="19" t="s">
        <v>9</v>
      </c>
      <c r="G74" s="19">
        <v>0.14799999999999999</v>
      </c>
      <c r="H74" s="19">
        <v>0.36899999999999999</v>
      </c>
      <c r="I74" s="19">
        <v>16.760000000000002</v>
      </c>
      <c r="J74" s="46">
        <v>12.0907272727273</v>
      </c>
      <c r="K74" s="19">
        <v>41</v>
      </c>
    </row>
    <row r="75" spans="1:11" ht="13.5">
      <c r="A75" s="19" t="s">
        <v>57</v>
      </c>
      <c r="B75" s="21">
        <v>6.1641000000000004</v>
      </c>
      <c r="C75" s="48">
        <v>44834</v>
      </c>
      <c r="D75" s="19" t="s">
        <v>6</v>
      </c>
      <c r="E75" s="19" t="s">
        <v>2</v>
      </c>
      <c r="F75" s="19" t="s">
        <v>9</v>
      </c>
      <c r="G75" s="19">
        <v>0.14799999999999999</v>
      </c>
      <c r="H75" s="19">
        <v>0.41399999999999998</v>
      </c>
      <c r="I75" s="19">
        <v>16.760000000000002</v>
      </c>
      <c r="J75" s="46">
        <v>10.4200454545455</v>
      </c>
      <c r="K75" s="19">
        <v>43</v>
      </c>
    </row>
    <row r="76" spans="1:11" ht="13.5">
      <c r="A76" s="19" t="s">
        <v>45</v>
      </c>
      <c r="B76" s="21">
        <v>5.7534999999999998</v>
      </c>
      <c r="C76" s="48">
        <v>45199</v>
      </c>
      <c r="D76" s="19" t="s">
        <v>6</v>
      </c>
      <c r="E76" s="19" t="s">
        <v>2</v>
      </c>
      <c r="F76" s="19" t="s">
        <v>8</v>
      </c>
      <c r="G76" s="19">
        <v>6.7400000000000002E-2</v>
      </c>
      <c r="H76" s="19">
        <v>6.7400000000000002E-2</v>
      </c>
      <c r="I76" s="19">
        <v>14.56</v>
      </c>
      <c r="J76" s="46">
        <v>9.23340909090909</v>
      </c>
      <c r="K76" s="19">
        <v>23</v>
      </c>
    </row>
    <row r="77" spans="1:11" ht="13.5">
      <c r="A77" s="19" t="s">
        <v>44</v>
      </c>
      <c r="B77" s="21">
        <v>8.7775999999999996</v>
      </c>
      <c r="C77" s="48">
        <v>45884</v>
      </c>
      <c r="D77" s="19" t="s">
        <v>6</v>
      </c>
      <c r="E77" s="19" t="s">
        <v>2</v>
      </c>
      <c r="F77" s="19" t="s">
        <v>8</v>
      </c>
      <c r="G77" s="19">
        <v>6.0199999999999997E-2</v>
      </c>
      <c r="H77" s="19">
        <v>6.0199999999999997E-2</v>
      </c>
      <c r="I77" s="19">
        <v>14.56</v>
      </c>
      <c r="J77" s="46">
        <v>10.608000000000001</v>
      </c>
      <c r="K77" s="19">
        <v>22</v>
      </c>
    </row>
    <row r="78" spans="1:11" ht="13.5">
      <c r="A78" s="19" t="s">
        <v>58</v>
      </c>
      <c r="B78" s="21">
        <v>8.9826999999999995</v>
      </c>
      <c r="C78" s="48">
        <v>45930</v>
      </c>
      <c r="D78" s="19" t="s">
        <v>6</v>
      </c>
      <c r="E78" s="19" t="s">
        <v>2</v>
      </c>
      <c r="F78" s="19" t="s">
        <v>9</v>
      </c>
      <c r="G78" s="19">
        <v>0.16600000000000001</v>
      </c>
      <c r="H78" s="19">
        <v>0.46400000000000002</v>
      </c>
      <c r="I78" s="19">
        <v>16.760000000000002</v>
      </c>
      <c r="J78" s="46">
        <v>11.7012272727273</v>
      </c>
      <c r="K78" s="19">
        <v>44</v>
      </c>
    </row>
    <row r="79" spans="1:11" ht="13.5">
      <c r="A79" s="19" t="s">
        <v>43</v>
      </c>
      <c r="B79" s="21">
        <v>9.0239999999999991</v>
      </c>
      <c r="C79" s="48">
        <v>45565</v>
      </c>
      <c r="D79" s="19" t="s">
        <v>6</v>
      </c>
      <c r="E79" s="19" t="s">
        <v>2</v>
      </c>
      <c r="F79" s="19" t="s">
        <v>8</v>
      </c>
      <c r="G79" s="19">
        <v>5.3800000000000001E-2</v>
      </c>
      <c r="H79" s="19">
        <v>5.3800000000000001E-2</v>
      </c>
      <c r="I79" s="19">
        <v>14.56</v>
      </c>
      <c r="J79" s="46">
        <v>10.72</v>
      </c>
      <c r="K79" s="19">
        <v>21</v>
      </c>
    </row>
    <row r="80" spans="1:11" ht="13.5">
      <c r="A80" s="19" t="s">
        <v>42</v>
      </c>
      <c r="B80" s="21">
        <v>7.1341999999999999</v>
      </c>
      <c r="C80" s="48">
        <v>45930</v>
      </c>
      <c r="D80" s="19" t="s">
        <v>6</v>
      </c>
      <c r="E80" s="19" t="s">
        <v>2</v>
      </c>
      <c r="F80" s="19" t="s">
        <v>8</v>
      </c>
      <c r="G80" s="19">
        <v>4.82E-2</v>
      </c>
      <c r="H80" s="19">
        <v>4.82E-2</v>
      </c>
      <c r="I80" s="19">
        <v>14.56</v>
      </c>
      <c r="J80" s="46">
        <v>9.8610000000000007</v>
      </c>
      <c r="K80" s="19">
        <v>20</v>
      </c>
    </row>
    <row r="81" spans="1:11" ht="13.5">
      <c r="A81" s="19" t="s">
        <v>41</v>
      </c>
      <c r="B81" s="21">
        <v>5.9774000000000003</v>
      </c>
      <c r="C81" s="48">
        <v>44469</v>
      </c>
      <c r="D81" s="19" t="s">
        <v>6</v>
      </c>
      <c r="E81" s="19" t="s">
        <v>2</v>
      </c>
      <c r="F81" s="19" t="s">
        <v>8</v>
      </c>
      <c r="G81" s="19">
        <v>4.3099999999999999E-2</v>
      </c>
      <c r="H81" s="19">
        <v>4.3099999999999999E-2</v>
      </c>
      <c r="I81" s="19">
        <v>14.56</v>
      </c>
      <c r="J81" s="46">
        <v>9.3351818181818196</v>
      </c>
      <c r="K81" s="19">
        <v>19</v>
      </c>
    </row>
    <row r="82" spans="1:11" ht="13.5">
      <c r="A82" s="19" t="s">
        <v>40</v>
      </c>
      <c r="B82" s="21">
        <v>5.8395999999999999</v>
      </c>
      <c r="C82" s="48">
        <v>44469</v>
      </c>
      <c r="D82" s="19" t="s">
        <v>6</v>
      </c>
      <c r="E82" s="19" t="s">
        <v>2</v>
      </c>
      <c r="F82" s="19" t="s">
        <v>8</v>
      </c>
      <c r="G82" s="19">
        <v>3.85E-2</v>
      </c>
      <c r="H82" s="19">
        <v>3.85E-2</v>
      </c>
      <c r="I82" s="19">
        <v>14.56</v>
      </c>
      <c r="J82" s="46">
        <v>9.2725454545454493</v>
      </c>
      <c r="K82" s="19">
        <v>18</v>
      </c>
    </row>
    <row r="83" spans="1:11" ht="13.5">
      <c r="A83" s="19" t="s">
        <v>39</v>
      </c>
      <c r="B83" s="21">
        <v>6.0773000000000001</v>
      </c>
      <c r="C83" s="48">
        <v>45199</v>
      </c>
      <c r="D83" s="19" t="s">
        <v>6</v>
      </c>
      <c r="E83" s="19" t="s">
        <v>2</v>
      </c>
      <c r="F83" s="19" t="s">
        <v>8</v>
      </c>
      <c r="G83" s="19">
        <v>3.4500000000000003E-2</v>
      </c>
      <c r="H83" s="19">
        <v>3.4500000000000003E-2</v>
      </c>
      <c r="I83" s="19">
        <v>14.56</v>
      </c>
      <c r="J83" s="46">
        <v>9.3805909090909108</v>
      </c>
      <c r="K83" s="19">
        <v>17</v>
      </c>
    </row>
    <row r="84" spans="1:11" ht="13.5">
      <c r="A84" s="19" t="s">
        <v>38</v>
      </c>
      <c r="B84" s="21">
        <v>5.9044999999999996</v>
      </c>
      <c r="C84" s="48">
        <v>44469</v>
      </c>
      <c r="D84" s="19" t="s">
        <v>6</v>
      </c>
      <c r="E84" s="19" t="s">
        <v>2</v>
      </c>
      <c r="F84" s="19" t="s">
        <v>8</v>
      </c>
      <c r="G84" s="19">
        <v>3.09E-2</v>
      </c>
      <c r="H84" s="19">
        <v>3.09E-2</v>
      </c>
      <c r="I84" s="19">
        <v>14.56</v>
      </c>
      <c r="J84" s="46">
        <v>9.3020454545454498</v>
      </c>
      <c r="K84" s="19">
        <v>16</v>
      </c>
    </row>
    <row r="85" spans="1:11" ht="13.5">
      <c r="A85" s="19" t="s">
        <v>37</v>
      </c>
      <c r="B85" s="21">
        <v>5.8293999999999997</v>
      </c>
      <c r="C85" s="48">
        <v>44834</v>
      </c>
      <c r="D85" s="19" t="s">
        <v>6</v>
      </c>
      <c r="E85" s="19" t="s">
        <v>2</v>
      </c>
      <c r="F85" s="19" t="s">
        <v>8</v>
      </c>
      <c r="G85" s="19">
        <v>2.76E-2</v>
      </c>
      <c r="H85" s="19">
        <v>2.76E-2</v>
      </c>
      <c r="I85" s="19">
        <v>14.56</v>
      </c>
      <c r="J85" s="46">
        <v>9.2679090909090895</v>
      </c>
      <c r="K85" s="19">
        <v>15</v>
      </c>
    </row>
    <row r="86" spans="1:11" ht="13.5">
      <c r="A86" s="19" t="s">
        <v>36</v>
      </c>
      <c r="B86" s="21">
        <v>5.7803000000000004</v>
      </c>
      <c r="C86" s="48">
        <v>45199</v>
      </c>
      <c r="D86" s="19" t="s">
        <v>6</v>
      </c>
      <c r="E86" s="19" t="s">
        <v>2</v>
      </c>
      <c r="F86" s="19" t="s">
        <v>8</v>
      </c>
      <c r="G86" s="19">
        <v>2.4799999999999999E-2</v>
      </c>
      <c r="H86" s="19">
        <v>2.4799999999999999E-2</v>
      </c>
      <c r="I86" s="19">
        <v>14.56</v>
      </c>
      <c r="J86" s="46">
        <v>9.2455909090909092</v>
      </c>
      <c r="K86" s="19">
        <v>14</v>
      </c>
    </row>
    <row r="87" spans="1:11" ht="13.5">
      <c r="A87" s="19" t="s">
        <v>35</v>
      </c>
      <c r="B87" s="21">
        <v>6.1515000000000004</v>
      </c>
      <c r="C87" s="48">
        <v>44042</v>
      </c>
      <c r="D87" s="19" t="s">
        <v>6</v>
      </c>
      <c r="E87" s="19" t="s">
        <v>2</v>
      </c>
      <c r="F87" s="19" t="s">
        <v>8</v>
      </c>
      <c r="G87" s="19">
        <v>2.2200000000000001E-2</v>
      </c>
      <c r="H87" s="19">
        <v>2.2200000000000001E-2</v>
      </c>
      <c r="I87" s="19">
        <v>14.56</v>
      </c>
      <c r="J87" s="46">
        <v>9.4143181818181798</v>
      </c>
      <c r="K87" s="19">
        <v>13</v>
      </c>
    </row>
    <row r="88" spans="1:11" ht="13.5">
      <c r="A88" s="19" t="s">
        <v>34</v>
      </c>
      <c r="B88" s="21">
        <v>6.71</v>
      </c>
      <c r="C88" s="48">
        <v>44042</v>
      </c>
      <c r="D88" s="19" t="s">
        <v>6</v>
      </c>
      <c r="E88" s="19" t="s">
        <v>2</v>
      </c>
      <c r="F88" s="19" t="s">
        <v>8</v>
      </c>
      <c r="G88" s="19">
        <v>1.9900000000000001E-2</v>
      </c>
      <c r="H88" s="19">
        <v>1.9900000000000001E-2</v>
      </c>
      <c r="I88" s="19">
        <v>14.56</v>
      </c>
      <c r="J88" s="46">
        <v>9.6681818181818198</v>
      </c>
      <c r="K88" s="19">
        <v>12</v>
      </c>
    </row>
    <row r="89" spans="1:11" ht="13.5">
      <c r="A89" s="19" t="s">
        <v>33</v>
      </c>
      <c r="B89" s="21">
        <v>5.2538</v>
      </c>
      <c r="C89" s="48">
        <v>44104</v>
      </c>
      <c r="D89" s="19" t="s">
        <v>6</v>
      </c>
      <c r="E89" s="19" t="s">
        <v>2</v>
      </c>
      <c r="F89" s="19" t="s">
        <v>8</v>
      </c>
      <c r="G89" s="19">
        <v>1.78E-2</v>
      </c>
      <c r="H89" s="19">
        <v>1.78E-2</v>
      </c>
      <c r="I89" s="19">
        <v>14.56</v>
      </c>
      <c r="J89" s="46">
        <v>9.0062727272727301</v>
      </c>
      <c r="K89" s="19">
        <v>11</v>
      </c>
    </row>
    <row r="90" spans="1:11" ht="13.5">
      <c r="A90" s="19" t="s">
        <v>32</v>
      </c>
      <c r="B90" s="21">
        <v>14.906499999999999</v>
      </c>
      <c r="C90" s="48">
        <v>45513</v>
      </c>
      <c r="D90" s="19" t="s">
        <v>6</v>
      </c>
      <c r="E90" s="19" t="s">
        <v>2</v>
      </c>
      <c r="F90" s="19" t="s">
        <v>8</v>
      </c>
      <c r="G90" s="19">
        <v>1.6E-2</v>
      </c>
      <c r="H90" s="19">
        <v>1.6E-2</v>
      </c>
      <c r="I90" s="19">
        <v>14.56</v>
      </c>
      <c r="J90" s="46">
        <v>13.3938636363636</v>
      </c>
      <c r="K90" s="19">
        <v>10</v>
      </c>
    </row>
    <row r="91" spans="1:11" ht="13.5">
      <c r="A91" s="19" t="s">
        <v>31</v>
      </c>
      <c r="B91" s="21">
        <v>8.2799999999999994</v>
      </c>
      <c r="C91" s="48">
        <v>44042</v>
      </c>
      <c r="D91" s="19" t="s">
        <v>6</v>
      </c>
      <c r="E91" s="19" t="s">
        <v>2</v>
      </c>
      <c r="F91" s="19" t="s">
        <v>8</v>
      </c>
      <c r="G91" s="19">
        <v>1.44E-2</v>
      </c>
      <c r="H91" s="19">
        <v>1.44E-2</v>
      </c>
      <c r="I91" s="19">
        <v>14.56</v>
      </c>
      <c r="J91" s="46">
        <v>10.3818181818182</v>
      </c>
      <c r="K91" s="19">
        <v>9</v>
      </c>
    </row>
    <row r="92" spans="1:11" ht="13.5">
      <c r="A92" s="19"/>
      <c r="B92" s="21"/>
      <c r="C92" s="48"/>
      <c r="D92" s="19"/>
      <c r="E92" s="19"/>
      <c r="F92" s="19"/>
      <c r="G92" s="19"/>
      <c r="H92" s="19"/>
      <c r="I92" s="19"/>
      <c r="J92" s="46"/>
      <c r="K92" s="19"/>
    </row>
    <row r="93" spans="1:11" ht="13.5">
      <c r="A93" s="19"/>
      <c r="B93" s="21"/>
      <c r="C93" s="48"/>
      <c r="D93" s="19"/>
      <c r="E93" s="19"/>
      <c r="F93" s="19"/>
      <c r="G93" s="19"/>
      <c r="H93" s="19"/>
      <c r="I93" s="19"/>
      <c r="J93" s="46"/>
      <c r="K93" s="19"/>
    </row>
    <row r="94" spans="1:11" ht="13.5">
      <c r="A94" s="19"/>
      <c r="B94" s="21"/>
      <c r="C94" s="48"/>
      <c r="D94" s="19"/>
      <c r="E94" s="19"/>
      <c r="F94" s="19"/>
      <c r="G94" s="19"/>
      <c r="H94" s="19"/>
      <c r="I94" s="19"/>
      <c r="J94" s="46"/>
      <c r="K94" s="19"/>
    </row>
    <row r="95" spans="1:11" ht="13.5">
      <c r="A95" s="19"/>
      <c r="B95" s="21"/>
      <c r="C95" s="48"/>
      <c r="D95" s="19"/>
      <c r="E95" s="19"/>
      <c r="F95" s="19"/>
      <c r="G95" s="19"/>
      <c r="H95" s="19"/>
      <c r="I95" s="19"/>
      <c r="J95" s="46"/>
      <c r="K95" s="19"/>
    </row>
    <row r="96" spans="1:11" ht="13.5">
      <c r="A96" s="19"/>
      <c r="B96" s="21"/>
      <c r="C96" s="48"/>
      <c r="D96" s="19"/>
      <c r="E96" s="19"/>
      <c r="F96" s="19"/>
      <c r="G96" s="19"/>
      <c r="H96" s="19"/>
      <c r="I96" s="19"/>
      <c r="J96" s="46"/>
      <c r="K96" s="19"/>
    </row>
    <row r="97" spans="1:11" ht="13.5">
      <c r="A97" s="19"/>
      <c r="B97" s="21"/>
      <c r="C97" s="48"/>
      <c r="D97" s="19"/>
      <c r="E97" s="19"/>
      <c r="F97" s="19"/>
      <c r="G97" s="19"/>
      <c r="H97" s="19"/>
      <c r="I97" s="19"/>
      <c r="J97" s="46"/>
      <c r="K97" s="19"/>
    </row>
    <row r="98" spans="1:11" ht="13.5">
      <c r="A98" s="19"/>
      <c r="B98" s="21"/>
      <c r="C98" s="48"/>
      <c r="D98" s="19"/>
      <c r="E98" s="19"/>
      <c r="F98" s="19"/>
      <c r="G98" s="19"/>
      <c r="H98" s="19"/>
      <c r="I98" s="19"/>
      <c r="J98" s="46"/>
      <c r="K98" s="19"/>
    </row>
    <row r="99" spans="1:11" ht="13.5">
      <c r="A99" s="19"/>
      <c r="B99" s="21"/>
      <c r="C99" s="48"/>
      <c r="D99" s="19"/>
      <c r="E99" s="19"/>
      <c r="F99" s="19"/>
      <c r="G99" s="19"/>
      <c r="H99" s="19"/>
      <c r="I99" s="19"/>
      <c r="J99" s="46"/>
      <c r="K99" s="19"/>
    </row>
    <row r="100" spans="1:11" ht="13.5">
      <c r="A100" s="19"/>
      <c r="B100" s="21"/>
      <c r="C100" s="48"/>
      <c r="D100" s="19"/>
      <c r="E100" s="19"/>
      <c r="F100" s="19"/>
      <c r="G100" s="19"/>
      <c r="H100" s="19"/>
      <c r="I100" s="19"/>
      <c r="J100" s="46"/>
      <c r="K100" s="19"/>
    </row>
    <row r="101" spans="1:11" ht="13.5">
      <c r="A101" s="19"/>
      <c r="B101" s="21"/>
      <c r="C101" s="48"/>
      <c r="D101" s="19"/>
      <c r="E101" s="19"/>
      <c r="F101" s="19"/>
      <c r="G101" s="19"/>
      <c r="H101" s="19"/>
      <c r="I101" s="19"/>
      <c r="J101" s="46"/>
      <c r="K101" s="19"/>
    </row>
    <row r="102" spans="1:11" ht="13.5">
      <c r="A102" s="19"/>
      <c r="B102" s="21"/>
      <c r="C102" s="48"/>
      <c r="D102" s="19"/>
      <c r="E102" s="19"/>
      <c r="F102" s="19"/>
      <c r="G102" s="19"/>
      <c r="H102" s="19"/>
      <c r="I102" s="19"/>
      <c r="J102" s="46"/>
      <c r="K102" s="19"/>
    </row>
    <row r="103" spans="1:11" ht="13.5">
      <c r="A103" s="19"/>
      <c r="B103" s="21"/>
      <c r="C103" s="48"/>
      <c r="D103" s="19"/>
      <c r="E103" s="19"/>
      <c r="F103" s="19"/>
      <c r="G103" s="19"/>
      <c r="H103" s="19"/>
      <c r="I103" s="19"/>
      <c r="J103" s="46"/>
      <c r="K103" s="19"/>
    </row>
    <row r="104" spans="1:11" ht="13.5">
      <c r="A104" s="19"/>
      <c r="B104" s="21"/>
      <c r="C104" s="48"/>
      <c r="D104" s="19"/>
      <c r="E104" s="19"/>
      <c r="F104" s="19"/>
      <c r="G104" s="19"/>
      <c r="H104" s="19"/>
      <c r="I104" s="19"/>
      <c r="J104" s="46"/>
      <c r="K104" s="19"/>
    </row>
    <row r="105" spans="1:11" ht="13.5">
      <c r="A105" s="19"/>
      <c r="B105" s="21"/>
      <c r="C105" s="48"/>
      <c r="D105" s="19"/>
      <c r="E105" s="19"/>
      <c r="F105" s="19"/>
      <c r="G105" s="19"/>
      <c r="H105" s="19"/>
      <c r="I105" s="19"/>
      <c r="J105" s="46"/>
      <c r="K105" s="19"/>
    </row>
    <row r="118" ht="11.1" customHeight="1"/>
  </sheetData>
  <dataValidations disablePrompts="1" count="2">
    <dataValidation type="list" allowBlank="1" showInputMessage="1" showErrorMessage="1" sqref="R5" xr:uid="{71473DE5-44C9-4729-9950-0581ACE125B4}">
      <formula1>$Z$2:$Z$11</formula1>
    </dataValidation>
    <dataValidation type="list" allowBlank="1" showInputMessage="1" showErrorMessage="1" sqref="P5:Q5" xr:uid="{9011C081-6D35-4ED2-9124-58902CC9C4F9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D50E-3AD9-401A-ACE3-44D204C6137A}">
  <sheetPr codeName="Sheet2"/>
  <dimension ref="A1:I125"/>
  <sheetViews>
    <sheetView zoomScaleNormal="100" workbookViewId="0">
      <selection activeCell="E25" sqref="E25"/>
    </sheetView>
  </sheetViews>
  <sheetFormatPr defaultColWidth="0" defaultRowHeight="15"/>
  <cols>
    <col min="1" max="1" width="13.28515625" style="22" customWidth="1"/>
    <col min="2" max="2" width="22.5703125" style="22" customWidth="1"/>
    <col min="3" max="3" width="16" style="22" customWidth="1"/>
    <col min="4" max="4" width="14.42578125" style="22" customWidth="1"/>
    <col min="5" max="5" width="19" style="22" customWidth="1"/>
    <col min="6" max="6" width="13.85546875" style="22" customWidth="1"/>
    <col min="8" max="8" width="19.140625" hidden="1" customWidth="1"/>
    <col min="9" max="9" width="13.140625" hidden="1" customWidth="1"/>
    <col min="10" max="16384" width="9.140625" hidden="1"/>
  </cols>
  <sheetData>
    <row r="1" spans="1:6" ht="30">
      <c r="A1" s="17" t="s">
        <v>22</v>
      </c>
      <c r="B1" s="17" t="s">
        <v>106</v>
      </c>
      <c r="C1" s="17" t="s">
        <v>380</v>
      </c>
      <c r="D1" s="18" t="s">
        <v>4</v>
      </c>
      <c r="E1" s="18" t="s">
        <v>19</v>
      </c>
      <c r="F1" s="18" t="s">
        <v>381</v>
      </c>
    </row>
    <row r="2" spans="1:6">
      <c r="A2" s="19" t="s">
        <v>101</v>
      </c>
      <c r="B2" s="20">
        <v>4.5617999999999999</v>
      </c>
      <c r="C2" s="21">
        <v>45930</v>
      </c>
      <c r="D2" s="19" t="s">
        <v>5</v>
      </c>
      <c r="E2" s="19" t="s">
        <v>96</v>
      </c>
      <c r="F2" s="19">
        <v>4.7E-2</v>
      </c>
    </row>
    <row r="3" spans="1:6">
      <c r="A3" s="19" t="s">
        <v>103</v>
      </c>
      <c r="B3" s="20">
        <v>3.2635999999999998</v>
      </c>
      <c r="C3" s="21">
        <v>45930</v>
      </c>
      <c r="D3" s="19" t="s">
        <v>5</v>
      </c>
      <c r="E3" s="19" t="s">
        <v>96</v>
      </c>
      <c r="F3" s="19">
        <v>6.3E-2</v>
      </c>
    </row>
    <row r="4" spans="1:6">
      <c r="A4" s="19" t="s">
        <v>104</v>
      </c>
      <c r="B4" s="20">
        <v>3.0304000000000002</v>
      </c>
      <c r="C4" s="21">
        <v>45930</v>
      </c>
      <c r="D4" s="19" t="s">
        <v>5</v>
      </c>
      <c r="E4" s="19" t="s">
        <v>96</v>
      </c>
      <c r="F4" s="19">
        <v>7.9000000000000001E-2</v>
      </c>
    </row>
    <row r="5" spans="1:6">
      <c r="A5" s="19" t="s">
        <v>102</v>
      </c>
      <c r="B5" s="20">
        <v>0</v>
      </c>
      <c r="C5" s="21">
        <v>36526</v>
      </c>
      <c r="D5" s="19" t="s">
        <v>5</v>
      </c>
      <c r="E5" s="19" t="s">
        <v>96</v>
      </c>
      <c r="F5" s="19">
        <v>0.09</v>
      </c>
    </row>
    <row r="6" spans="1:6">
      <c r="A6" s="19" t="s">
        <v>382</v>
      </c>
      <c r="B6" s="21">
        <v>15.9901</v>
      </c>
      <c r="C6" s="21">
        <v>46007</v>
      </c>
      <c r="D6" s="19" t="s">
        <v>376</v>
      </c>
      <c r="E6" s="19" t="s">
        <v>383</v>
      </c>
      <c r="F6" s="19">
        <v>0</v>
      </c>
    </row>
    <row r="7" spans="1:6">
      <c r="A7" s="19" t="s">
        <v>384</v>
      </c>
      <c r="B7" s="21">
        <v>3.49</v>
      </c>
      <c r="C7" s="21">
        <v>45930</v>
      </c>
      <c r="D7" s="19" t="s">
        <v>376</v>
      </c>
      <c r="E7" s="19" t="s">
        <v>383</v>
      </c>
      <c r="F7" s="19">
        <v>0</v>
      </c>
    </row>
    <row r="8" spans="1:6">
      <c r="A8" s="19" t="s">
        <v>385</v>
      </c>
      <c r="B8" s="21">
        <v>19.9528</v>
      </c>
      <c r="C8" s="21">
        <v>45897</v>
      </c>
      <c r="D8" s="19" t="s">
        <v>376</v>
      </c>
      <c r="E8" s="19" t="s">
        <v>383</v>
      </c>
      <c r="F8" s="19">
        <v>0</v>
      </c>
    </row>
    <row r="9" spans="1:6">
      <c r="A9" s="19" t="s">
        <v>375</v>
      </c>
      <c r="B9" s="21">
        <v>3.79</v>
      </c>
      <c r="C9" s="21">
        <v>46009</v>
      </c>
      <c r="D9" s="19" t="s">
        <v>376</v>
      </c>
      <c r="E9" s="19" t="s">
        <v>383</v>
      </c>
      <c r="F9" s="19">
        <v>0</v>
      </c>
    </row>
    <row r="10" spans="1:6">
      <c r="A10" s="19" t="s">
        <v>386</v>
      </c>
      <c r="B10" s="21">
        <v>24.99</v>
      </c>
      <c r="C10" s="21">
        <v>45988</v>
      </c>
      <c r="D10" s="19" t="s">
        <v>376</v>
      </c>
      <c r="E10" s="19" t="s">
        <v>383</v>
      </c>
      <c r="F10" s="19">
        <v>0</v>
      </c>
    </row>
    <row r="11" spans="1:6">
      <c r="A11" s="19" t="s">
        <v>387</v>
      </c>
      <c r="B11" s="21">
        <v>4.99</v>
      </c>
      <c r="C11" s="21">
        <v>46010</v>
      </c>
      <c r="D11" s="19" t="s">
        <v>376</v>
      </c>
      <c r="E11" s="19" t="s">
        <v>383</v>
      </c>
      <c r="F11" s="19">
        <v>0</v>
      </c>
    </row>
    <row r="12" spans="1:6">
      <c r="A12" s="19" t="s">
        <v>388</v>
      </c>
      <c r="B12" s="21">
        <v>35.99</v>
      </c>
      <c r="C12" s="21">
        <v>46001</v>
      </c>
      <c r="D12" s="19" t="s">
        <v>376</v>
      </c>
      <c r="E12" s="19" t="s">
        <v>383</v>
      </c>
      <c r="F12" s="19">
        <v>0</v>
      </c>
    </row>
    <row r="13" spans="1:6">
      <c r="A13" s="19" t="s">
        <v>97</v>
      </c>
      <c r="B13" s="21">
        <v>10.63</v>
      </c>
      <c r="C13" s="21">
        <v>45930</v>
      </c>
      <c r="D13" s="19" t="s">
        <v>6</v>
      </c>
      <c r="E13" s="19" t="s">
        <v>96</v>
      </c>
      <c r="F13" s="19">
        <v>0.01</v>
      </c>
    </row>
    <row r="14" spans="1:6">
      <c r="A14" s="19" t="s">
        <v>98</v>
      </c>
      <c r="B14" s="21">
        <v>1.1000000000000001</v>
      </c>
      <c r="C14" s="21">
        <v>45699</v>
      </c>
      <c r="D14" s="19" t="s">
        <v>6</v>
      </c>
      <c r="E14" s="19" t="s">
        <v>96</v>
      </c>
      <c r="F14" s="19">
        <v>0.05</v>
      </c>
    </row>
    <row r="15" spans="1:6">
      <c r="A15" s="19" t="s">
        <v>100</v>
      </c>
      <c r="B15" s="21">
        <v>6</v>
      </c>
      <c r="C15" s="21">
        <v>45930</v>
      </c>
      <c r="D15" s="19" t="s">
        <v>6</v>
      </c>
      <c r="E15" s="19" t="s">
        <v>96</v>
      </c>
      <c r="F15" s="19">
        <v>0.05</v>
      </c>
    </row>
    <row r="16" spans="1:6">
      <c r="A16" s="19" t="s">
        <v>99</v>
      </c>
      <c r="B16" s="21">
        <v>9.6103000000000005</v>
      </c>
      <c r="C16" s="21">
        <v>45930</v>
      </c>
      <c r="D16" s="19" t="s">
        <v>6</v>
      </c>
      <c r="E16" s="19" t="s">
        <v>96</v>
      </c>
      <c r="F16" s="19">
        <v>0.05</v>
      </c>
    </row>
    <row r="17" spans="1:6">
      <c r="A17" s="19" t="s">
        <v>389</v>
      </c>
      <c r="B17" s="21">
        <v>8.5571999999999999</v>
      </c>
      <c r="C17" s="21">
        <v>45930</v>
      </c>
      <c r="D17" s="19" t="s">
        <v>6</v>
      </c>
      <c r="E17" s="19" t="s">
        <v>96</v>
      </c>
      <c r="F17" s="19">
        <v>0</v>
      </c>
    </row>
    <row r="18" spans="1:6">
      <c r="A18" s="19" t="s">
        <v>21</v>
      </c>
      <c r="B18" s="21">
        <v>17.4345</v>
      </c>
      <c r="C18" s="21">
        <v>45966</v>
      </c>
      <c r="D18" s="19" t="s">
        <v>0</v>
      </c>
      <c r="E18" s="19" t="s">
        <v>10</v>
      </c>
      <c r="F18" s="19">
        <v>1.2E-2</v>
      </c>
    </row>
    <row r="19" spans="1:6">
      <c r="A19" s="19" t="s">
        <v>91</v>
      </c>
      <c r="B19" s="21">
        <v>8.5625</v>
      </c>
      <c r="C19" s="21">
        <v>45981</v>
      </c>
      <c r="D19" s="19" t="s">
        <v>90</v>
      </c>
      <c r="E19" s="19" t="s">
        <v>10</v>
      </c>
      <c r="F19" s="19">
        <v>0.1875</v>
      </c>
    </row>
    <row r="20" spans="1:6">
      <c r="A20" s="19" t="s">
        <v>92</v>
      </c>
      <c r="B20" s="21">
        <v>10.4801</v>
      </c>
      <c r="C20" s="21">
        <v>45951</v>
      </c>
      <c r="D20" s="19" t="s">
        <v>90</v>
      </c>
      <c r="E20" s="19" t="s">
        <v>10</v>
      </c>
      <c r="F20" s="19">
        <v>0.25</v>
      </c>
    </row>
    <row r="21" spans="1:6">
      <c r="A21" s="19" t="s">
        <v>93</v>
      </c>
      <c r="B21" s="21">
        <v>6.5271999999999997</v>
      </c>
      <c r="C21" s="21">
        <v>45959</v>
      </c>
      <c r="D21" s="19" t="s">
        <v>90</v>
      </c>
      <c r="E21" s="19" t="s">
        <v>10</v>
      </c>
      <c r="F21" s="19">
        <v>0.125</v>
      </c>
    </row>
    <row r="22" spans="1:6">
      <c r="A22" s="22" t="s">
        <v>17</v>
      </c>
      <c r="B22" s="22">
        <v>4.43</v>
      </c>
      <c r="C22" s="49">
        <v>45987</v>
      </c>
      <c r="D22" s="82" t="s">
        <v>11</v>
      </c>
      <c r="E22" s="83" t="s">
        <v>10</v>
      </c>
      <c r="F22" s="83">
        <v>0.1</v>
      </c>
    </row>
    <row r="23" spans="1:6">
      <c r="A23" s="22" t="s">
        <v>16</v>
      </c>
      <c r="B23" s="22">
        <v>0</v>
      </c>
      <c r="C23" s="22">
        <v>65535</v>
      </c>
      <c r="D23" s="82" t="s">
        <v>11</v>
      </c>
      <c r="E23" s="84" t="s">
        <v>10</v>
      </c>
      <c r="F23" s="83">
        <v>0.02</v>
      </c>
    </row>
    <row r="24" spans="1:6">
      <c r="A24" s="22" t="s">
        <v>15</v>
      </c>
      <c r="B24" s="22">
        <v>6.23</v>
      </c>
      <c r="C24" s="49">
        <v>45986</v>
      </c>
      <c r="D24" s="82" t="s">
        <v>11</v>
      </c>
      <c r="E24" s="84" t="s">
        <v>10</v>
      </c>
      <c r="F24" s="83">
        <v>0.05</v>
      </c>
    </row>
    <row r="25" spans="1:6">
      <c r="A25" s="22" t="s">
        <v>17</v>
      </c>
      <c r="B25" s="22">
        <v>4.43</v>
      </c>
      <c r="C25" s="49">
        <v>45987</v>
      </c>
      <c r="D25" s="82" t="s">
        <v>11</v>
      </c>
      <c r="E25" s="84" t="s">
        <v>10</v>
      </c>
      <c r="F25" s="83">
        <v>0.1</v>
      </c>
    </row>
    <row r="26" spans="1:6">
      <c r="A26" s="22" t="s">
        <v>94</v>
      </c>
      <c r="B26" s="22">
        <v>0</v>
      </c>
      <c r="C26" s="49">
        <v>36526</v>
      </c>
      <c r="D26" s="82" t="s">
        <v>95</v>
      </c>
      <c r="E26" s="84" t="s">
        <v>18</v>
      </c>
      <c r="F26" s="83">
        <v>0.23</v>
      </c>
    </row>
    <row r="27" spans="1:6">
      <c r="A27" s="22" t="s">
        <v>87</v>
      </c>
      <c r="B27" s="22">
        <v>2.67</v>
      </c>
      <c r="C27" s="49">
        <v>46006</v>
      </c>
      <c r="D27" s="82" t="s">
        <v>85</v>
      </c>
      <c r="E27" s="84" t="s">
        <v>10</v>
      </c>
      <c r="F27" s="83">
        <v>6.25E-2</v>
      </c>
    </row>
    <row r="28" spans="1:6">
      <c r="A28" s="22" t="s">
        <v>86</v>
      </c>
      <c r="B28" s="22">
        <v>4.0747</v>
      </c>
      <c r="C28" s="49">
        <v>45930</v>
      </c>
      <c r="D28" s="82" t="s">
        <v>85</v>
      </c>
      <c r="E28" s="84" t="s">
        <v>10</v>
      </c>
      <c r="F28" s="83">
        <v>0.125</v>
      </c>
    </row>
    <row r="29" spans="1:6">
      <c r="A29" s="22" t="s">
        <v>89</v>
      </c>
      <c r="B29" s="22">
        <v>0</v>
      </c>
      <c r="C29" s="49">
        <v>36526</v>
      </c>
      <c r="D29" s="82" t="s">
        <v>88</v>
      </c>
      <c r="E29" s="84" t="s">
        <v>10</v>
      </c>
      <c r="F29" s="83">
        <v>0.25</v>
      </c>
    </row>
    <row r="30" spans="1:6">
      <c r="E30" s="24"/>
    </row>
    <row r="31" spans="1:6">
      <c r="E31" s="24"/>
    </row>
    <row r="32" spans="1:6">
      <c r="E32" s="24"/>
    </row>
    <row r="33" spans="5:5">
      <c r="E33" s="24"/>
    </row>
    <row r="34" spans="5:5">
      <c r="E34" s="24"/>
    </row>
    <row r="35" spans="5:5">
      <c r="E35" s="24"/>
    </row>
    <row r="36" spans="5:5">
      <c r="E36" s="24"/>
    </row>
    <row r="37" spans="5:5">
      <c r="E37" s="24"/>
    </row>
    <row r="38" spans="5:5">
      <c r="E38" s="24"/>
    </row>
    <row r="39" spans="5:5">
      <c r="E39" s="24"/>
    </row>
    <row r="40" spans="5:5">
      <c r="E40" s="24"/>
    </row>
    <row r="41" spans="5:5">
      <c r="E41" s="24"/>
    </row>
    <row r="42" spans="5:5">
      <c r="E42" s="24"/>
    </row>
    <row r="43" spans="5:5">
      <c r="E43" s="24"/>
    </row>
    <row r="44" spans="5:5">
      <c r="E44" s="24"/>
    </row>
    <row r="45" spans="5:5">
      <c r="E45" s="24"/>
    </row>
    <row r="46" spans="5:5">
      <c r="E46" s="24"/>
    </row>
    <row r="47" spans="5:5">
      <c r="E47" s="24"/>
    </row>
    <row r="48" spans="5:5">
      <c r="E48" s="24"/>
    </row>
    <row r="49" spans="5:5">
      <c r="E49" s="24"/>
    </row>
    <row r="50" spans="5:5">
      <c r="E50" s="24"/>
    </row>
    <row r="51" spans="5:5">
      <c r="E51" s="24"/>
    </row>
    <row r="52" spans="5:5">
      <c r="E52" s="24"/>
    </row>
    <row r="53" spans="5:5">
      <c r="E53" s="24"/>
    </row>
    <row r="54" spans="5:5">
      <c r="E54" s="24"/>
    </row>
    <row r="55" spans="5:5">
      <c r="E55" s="24"/>
    </row>
    <row r="56" spans="5:5">
      <c r="E56" s="24"/>
    </row>
    <row r="57" spans="5:5">
      <c r="E57" s="24"/>
    </row>
    <row r="58" spans="5:5">
      <c r="E58" s="24"/>
    </row>
    <row r="59" spans="5:5">
      <c r="E59" s="24"/>
    </row>
    <row r="60" spans="5:5">
      <c r="E60" s="24"/>
    </row>
    <row r="61" spans="5:5">
      <c r="E61" s="24"/>
    </row>
    <row r="62" spans="5:5">
      <c r="E62" s="24"/>
    </row>
    <row r="63" spans="5:5">
      <c r="E63" s="24"/>
    </row>
    <row r="64" spans="5:5">
      <c r="E64" s="24"/>
    </row>
    <row r="65" spans="5:5">
      <c r="E65" s="24"/>
    </row>
    <row r="66" spans="5:5">
      <c r="E66" s="24"/>
    </row>
    <row r="67" spans="5:5">
      <c r="E67" s="24"/>
    </row>
    <row r="68" spans="5:5">
      <c r="E68" s="24"/>
    </row>
    <row r="69" spans="5:5">
      <c r="E69" s="24"/>
    </row>
    <row r="70" spans="5:5">
      <c r="E70" s="24"/>
    </row>
    <row r="71" spans="5:5">
      <c r="E71" s="24"/>
    </row>
    <row r="72" spans="5:5">
      <c r="E72" s="24"/>
    </row>
    <row r="73" spans="5:5">
      <c r="E73" s="24"/>
    </row>
    <row r="74" spans="5:5">
      <c r="E74" s="24"/>
    </row>
    <row r="75" spans="5:5">
      <c r="E75" s="24"/>
    </row>
    <row r="76" spans="5:5">
      <c r="E76" s="24"/>
    </row>
    <row r="77" spans="5:5">
      <c r="E77" s="24"/>
    </row>
    <row r="78" spans="5:5">
      <c r="E78" s="24"/>
    </row>
    <row r="79" spans="5:5">
      <c r="E79" s="24"/>
    </row>
    <row r="80" spans="5:5">
      <c r="E80" s="24"/>
    </row>
    <row r="81" spans="5:5">
      <c r="E81" s="24"/>
    </row>
    <row r="82" spans="5:5">
      <c r="E82" s="24"/>
    </row>
    <row r="83" spans="5:5">
      <c r="E83" s="24"/>
    </row>
    <row r="84" spans="5:5">
      <c r="E84" s="24"/>
    </row>
    <row r="85" spans="5:5">
      <c r="E85" s="24"/>
    </row>
    <row r="86" spans="5:5">
      <c r="E86" s="24"/>
    </row>
    <row r="87" spans="5:5">
      <c r="E87" s="24"/>
    </row>
    <row r="88" spans="5:5">
      <c r="E88" s="24"/>
    </row>
    <row r="89" spans="5:5">
      <c r="E89" s="24"/>
    </row>
    <row r="90" spans="5:5">
      <c r="E90" s="24"/>
    </row>
    <row r="91" spans="5:5">
      <c r="E91" s="24"/>
    </row>
    <row r="92" spans="5:5">
      <c r="E92" s="24"/>
    </row>
    <row r="93" spans="5:5">
      <c r="E93" s="24"/>
    </row>
    <row r="94" spans="5:5">
      <c r="E94" s="24"/>
    </row>
    <row r="95" spans="5:5">
      <c r="E95" s="24"/>
    </row>
    <row r="96" spans="5:5">
      <c r="E96" s="24"/>
    </row>
    <row r="97" spans="5:5">
      <c r="E97" s="24"/>
    </row>
    <row r="98" spans="5:5">
      <c r="E98" s="24"/>
    </row>
    <row r="99" spans="5:5">
      <c r="E99" s="24"/>
    </row>
    <row r="100" spans="5:5">
      <c r="E100" s="24"/>
    </row>
    <row r="101" spans="5:5">
      <c r="E101" s="24"/>
    </row>
    <row r="102" spans="5:5">
      <c r="E102" s="24"/>
    </row>
    <row r="103" spans="5:5">
      <c r="E103" s="24"/>
    </row>
    <row r="104" spans="5:5">
      <c r="E104" s="24"/>
    </row>
    <row r="105" spans="5:5">
      <c r="E105" s="24"/>
    </row>
    <row r="110" spans="5:5">
      <c r="E110" s="24"/>
    </row>
    <row r="111" spans="5:5">
      <c r="E111" s="24"/>
    </row>
    <row r="112" spans="5:5">
      <c r="E112" s="24"/>
    </row>
    <row r="113" spans="5:5">
      <c r="E113" s="24"/>
    </row>
    <row r="114" spans="5:5">
      <c r="E114" s="24"/>
    </row>
    <row r="115" spans="5:5">
      <c r="E115" s="24"/>
    </row>
    <row r="116" spans="5:5">
      <c r="E116" s="24"/>
    </row>
    <row r="117" spans="5:5">
      <c r="E117" s="24"/>
    </row>
    <row r="118" spans="5:5">
      <c r="E118" s="24"/>
    </row>
    <row r="119" spans="5:5">
      <c r="E119" s="24"/>
    </row>
    <row r="120" spans="5:5">
      <c r="E120" s="24"/>
    </row>
    <row r="121" spans="5:5">
      <c r="E121" s="24"/>
    </row>
    <row r="122" spans="5:5">
      <c r="E122" s="24"/>
    </row>
    <row r="123" spans="5:5">
      <c r="E123" s="24"/>
    </row>
    <row r="124" spans="5:5">
      <c r="E124" s="24"/>
    </row>
    <row r="125" spans="5:5">
      <c r="E125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B41ED-9ED5-4960-8556-1583FC067FFE}">
  <sheetPr codeName="Sheet3"/>
  <dimension ref="A1:Y86"/>
  <sheetViews>
    <sheetView zoomScale="70" zoomScaleNormal="70" workbookViewId="0">
      <selection activeCell="A9" sqref="A9"/>
    </sheetView>
  </sheetViews>
  <sheetFormatPr defaultColWidth="0" defaultRowHeight="15"/>
  <cols>
    <col min="1" max="1" width="29.7109375" style="38" customWidth="1"/>
    <col min="2" max="2" width="20" style="37" customWidth="1"/>
    <col min="3" max="3" width="25.7109375" style="37" customWidth="1"/>
    <col min="4" max="4" width="38.42578125" style="37" customWidth="1"/>
    <col min="5" max="5" width="14.28515625" style="37" customWidth="1"/>
    <col min="6" max="6" width="15" style="37" customWidth="1"/>
    <col min="7" max="7" width="14" style="37" customWidth="1"/>
    <col min="8" max="8" width="15" style="37" customWidth="1"/>
    <col min="9" max="9" width="17" style="37" customWidth="1"/>
    <col min="10" max="10" width="16.5703125" style="37" customWidth="1"/>
    <col min="11" max="11" width="14.85546875" style="37" customWidth="1"/>
    <col min="12" max="12" width="21.140625" style="37" customWidth="1"/>
    <col min="13" max="14" width="0" style="11" hidden="1" customWidth="1"/>
    <col min="15" max="15" width="19.140625" style="12" hidden="1" customWidth="1"/>
    <col min="16" max="16" width="11.85546875" style="11" hidden="1" customWidth="1"/>
    <col min="17" max="17" width="11" style="11" hidden="1" customWidth="1"/>
    <col min="18" max="18" width="18.7109375" style="11" hidden="1" customWidth="1"/>
    <col min="19" max="19" width="10.42578125" style="11" hidden="1" customWidth="1"/>
    <col min="20" max="20" width="9.7109375" style="11" hidden="1" customWidth="1"/>
    <col min="21" max="21" width="9.85546875" style="11" hidden="1" customWidth="1"/>
    <col min="22" max="25" width="13.28515625" style="11" hidden="1" customWidth="1"/>
    <col min="26" max="16384" width="25.7109375" style="11" hidden="1"/>
  </cols>
  <sheetData>
    <row r="1" spans="1:19" ht="40.5" customHeight="1">
      <c r="A1" s="27" t="s">
        <v>22</v>
      </c>
      <c r="B1" s="17" t="s">
        <v>218</v>
      </c>
      <c r="C1" s="17" t="s">
        <v>221</v>
      </c>
      <c r="D1" s="17" t="s">
        <v>188</v>
      </c>
      <c r="E1" s="17" t="s">
        <v>4</v>
      </c>
      <c r="F1" s="17" t="s">
        <v>116</v>
      </c>
      <c r="G1" s="17" t="s">
        <v>186</v>
      </c>
      <c r="H1" s="17" t="s">
        <v>187</v>
      </c>
      <c r="I1" s="17" t="s">
        <v>115</v>
      </c>
      <c r="J1" s="17" t="s">
        <v>114</v>
      </c>
      <c r="K1" s="17" t="s">
        <v>117</v>
      </c>
      <c r="L1" s="29" t="s">
        <v>192</v>
      </c>
      <c r="M1" s="10" t="s">
        <v>260</v>
      </c>
      <c r="N1" s="10" t="s">
        <v>261</v>
      </c>
      <c r="O1" s="11"/>
    </row>
    <row r="2" spans="1:19">
      <c r="A2" s="30" t="s">
        <v>201</v>
      </c>
      <c r="B2" s="31">
        <v>0</v>
      </c>
      <c r="C2" s="50">
        <v>65535</v>
      </c>
      <c r="D2" s="33" t="s">
        <v>196</v>
      </c>
      <c r="E2" s="33" t="s">
        <v>195</v>
      </c>
      <c r="F2" s="33">
        <v>15</v>
      </c>
      <c r="G2" s="33">
        <v>0</v>
      </c>
      <c r="H2" s="33">
        <v>2</v>
      </c>
      <c r="I2" s="33">
        <v>95</v>
      </c>
      <c r="J2" s="33">
        <v>50</v>
      </c>
      <c r="K2" s="33" t="s">
        <v>203</v>
      </c>
      <c r="L2" s="33" t="s">
        <v>228</v>
      </c>
      <c r="M2" s="25"/>
      <c r="N2" s="14"/>
      <c r="O2" s="11"/>
    </row>
    <row r="3" spans="1:19">
      <c r="A3" s="30" t="s">
        <v>202</v>
      </c>
      <c r="B3" s="31">
        <v>0</v>
      </c>
      <c r="C3" s="50">
        <v>65535</v>
      </c>
      <c r="D3" s="33" t="s">
        <v>196</v>
      </c>
      <c r="E3" s="33" t="s">
        <v>195</v>
      </c>
      <c r="F3" s="33">
        <v>15</v>
      </c>
      <c r="G3" s="33">
        <v>0</v>
      </c>
      <c r="H3" s="33">
        <v>4</v>
      </c>
      <c r="I3" s="33">
        <v>95</v>
      </c>
      <c r="J3" s="33">
        <v>50</v>
      </c>
      <c r="K3" s="33" t="s">
        <v>203</v>
      </c>
      <c r="L3" s="33" t="s">
        <v>228</v>
      </c>
      <c r="M3" s="25"/>
      <c r="N3" s="14"/>
    </row>
    <row r="4" spans="1:19">
      <c r="A4" s="30" t="s">
        <v>390</v>
      </c>
      <c r="B4" s="31">
        <v>0</v>
      </c>
      <c r="C4" s="50">
        <v>65535</v>
      </c>
      <c r="D4" s="33" t="s">
        <v>196</v>
      </c>
      <c r="E4" s="33" t="s">
        <v>195</v>
      </c>
      <c r="F4" s="33">
        <v>15</v>
      </c>
      <c r="G4" s="33">
        <v>0</v>
      </c>
      <c r="H4" s="33">
        <v>2</v>
      </c>
      <c r="I4" s="33">
        <v>95</v>
      </c>
      <c r="J4" s="33">
        <v>50</v>
      </c>
      <c r="K4" s="33" t="s">
        <v>203</v>
      </c>
      <c r="L4" s="33" t="s">
        <v>228</v>
      </c>
      <c r="M4" s="25"/>
      <c r="N4" s="14"/>
    </row>
    <row r="5" spans="1:19">
      <c r="A5" s="30" t="s">
        <v>391</v>
      </c>
      <c r="B5" s="31">
        <v>0</v>
      </c>
      <c r="C5" s="50">
        <v>65535</v>
      </c>
      <c r="D5" s="33" t="s">
        <v>196</v>
      </c>
      <c r="E5" s="33" t="s">
        <v>195</v>
      </c>
      <c r="F5" s="33">
        <v>15</v>
      </c>
      <c r="G5" s="33">
        <v>0</v>
      </c>
      <c r="H5" s="33">
        <v>4</v>
      </c>
      <c r="I5" s="33">
        <v>95</v>
      </c>
      <c r="J5" s="33">
        <v>400</v>
      </c>
      <c r="K5" s="33" t="s">
        <v>203</v>
      </c>
      <c r="L5" s="33" t="s">
        <v>228</v>
      </c>
      <c r="M5" s="25"/>
      <c r="N5" s="14"/>
    </row>
    <row r="6" spans="1:19">
      <c r="A6" s="30" t="s">
        <v>392</v>
      </c>
      <c r="B6" s="31">
        <v>0</v>
      </c>
      <c r="C6" s="50">
        <v>65535</v>
      </c>
      <c r="D6" s="33" t="s">
        <v>196</v>
      </c>
      <c r="E6" s="33" t="s">
        <v>195</v>
      </c>
      <c r="F6" s="33">
        <v>15</v>
      </c>
      <c r="G6" s="33">
        <v>0</v>
      </c>
      <c r="H6" s="33">
        <v>2</v>
      </c>
      <c r="I6" s="33">
        <v>95</v>
      </c>
      <c r="J6" s="33">
        <v>400</v>
      </c>
      <c r="K6" s="33" t="s">
        <v>203</v>
      </c>
      <c r="L6" s="33" t="s">
        <v>228</v>
      </c>
      <c r="M6" s="25"/>
      <c r="N6" s="14"/>
    </row>
    <row r="7" spans="1:19">
      <c r="A7" s="30" t="s">
        <v>393</v>
      </c>
      <c r="B7" s="31">
        <v>0</v>
      </c>
      <c r="C7" s="31">
        <v>65535</v>
      </c>
      <c r="D7" s="33" t="s">
        <v>196</v>
      </c>
      <c r="E7" s="33" t="s">
        <v>195</v>
      </c>
      <c r="F7" s="33">
        <v>15</v>
      </c>
      <c r="G7" s="33">
        <v>0</v>
      </c>
      <c r="H7" s="33">
        <v>2</v>
      </c>
      <c r="I7" s="33">
        <v>95</v>
      </c>
      <c r="J7" s="33">
        <v>400</v>
      </c>
      <c r="K7" s="33" t="s">
        <v>203</v>
      </c>
      <c r="L7" s="33" t="s">
        <v>228</v>
      </c>
      <c r="M7" s="25"/>
      <c r="N7" s="14"/>
    </row>
    <row r="8" spans="1:19">
      <c r="A8" s="30" t="s">
        <v>394</v>
      </c>
      <c r="B8" s="31">
        <v>0</v>
      </c>
      <c r="C8" s="31">
        <v>65535</v>
      </c>
      <c r="D8" s="33" t="s">
        <v>196</v>
      </c>
      <c r="E8" s="33" t="s">
        <v>195</v>
      </c>
      <c r="F8" s="33">
        <v>15</v>
      </c>
      <c r="G8" s="33">
        <v>0</v>
      </c>
      <c r="H8" s="33">
        <v>2</v>
      </c>
      <c r="I8" s="33">
        <v>95</v>
      </c>
      <c r="J8" s="33">
        <v>400</v>
      </c>
      <c r="K8" s="33" t="s">
        <v>203</v>
      </c>
      <c r="L8" s="33" t="s">
        <v>228</v>
      </c>
      <c r="M8" s="25"/>
      <c r="N8" s="14"/>
    </row>
    <row r="9" spans="1:19">
      <c r="A9" s="30" t="s">
        <v>204</v>
      </c>
      <c r="B9" s="31">
        <v>0</v>
      </c>
      <c r="C9" s="31">
        <v>65535</v>
      </c>
      <c r="D9" s="33" t="s">
        <v>196</v>
      </c>
      <c r="E9" s="33" t="s">
        <v>195</v>
      </c>
      <c r="F9" s="33">
        <v>25</v>
      </c>
      <c r="G9" s="33">
        <v>0</v>
      </c>
      <c r="H9" s="33">
        <v>2</v>
      </c>
      <c r="I9" s="33">
        <v>125</v>
      </c>
      <c r="J9" s="33">
        <v>50</v>
      </c>
      <c r="K9" s="33" t="s">
        <v>203</v>
      </c>
      <c r="L9" s="33" t="s">
        <v>228</v>
      </c>
      <c r="M9" s="25"/>
      <c r="N9" s="14"/>
    </row>
    <row r="10" spans="1:19">
      <c r="A10" s="30" t="s">
        <v>205</v>
      </c>
      <c r="B10" s="31">
        <v>0</v>
      </c>
      <c r="C10" s="31">
        <v>65535</v>
      </c>
      <c r="D10" s="33" t="s">
        <v>196</v>
      </c>
      <c r="E10" s="33" t="s">
        <v>195</v>
      </c>
      <c r="F10" s="33">
        <v>25</v>
      </c>
      <c r="G10" s="33">
        <v>0</v>
      </c>
      <c r="H10" s="33">
        <v>4</v>
      </c>
      <c r="I10" s="33">
        <v>125</v>
      </c>
      <c r="J10" s="33">
        <v>50</v>
      </c>
      <c r="K10" s="33" t="s">
        <v>203</v>
      </c>
      <c r="L10" s="33" t="s">
        <v>228</v>
      </c>
      <c r="M10" s="25"/>
      <c r="N10" s="14"/>
    </row>
    <row r="11" spans="1:19">
      <c r="A11" s="30" t="s">
        <v>395</v>
      </c>
      <c r="B11" s="31">
        <v>0</v>
      </c>
      <c r="C11" s="31">
        <v>65535</v>
      </c>
      <c r="D11" s="33" t="s">
        <v>196</v>
      </c>
      <c r="E11" s="33" t="s">
        <v>195</v>
      </c>
      <c r="F11" s="33">
        <v>25</v>
      </c>
      <c r="G11" s="33">
        <v>0</v>
      </c>
      <c r="H11" s="33">
        <v>2</v>
      </c>
      <c r="I11" s="33">
        <v>125</v>
      </c>
      <c r="J11" s="33">
        <v>400</v>
      </c>
      <c r="K11" s="33" t="s">
        <v>203</v>
      </c>
      <c r="L11" s="33" t="s">
        <v>228</v>
      </c>
      <c r="M11" s="25"/>
      <c r="N11" s="14"/>
    </row>
    <row r="12" spans="1:19">
      <c r="A12" s="30" t="s">
        <v>396</v>
      </c>
      <c r="B12" s="31">
        <v>0</v>
      </c>
      <c r="C12" s="31">
        <v>65535</v>
      </c>
      <c r="D12" s="33" t="s">
        <v>196</v>
      </c>
      <c r="E12" s="33" t="s">
        <v>195</v>
      </c>
      <c r="F12" s="33">
        <v>25</v>
      </c>
      <c r="G12" s="33">
        <v>0</v>
      </c>
      <c r="H12" s="33">
        <v>2</v>
      </c>
      <c r="I12" s="33">
        <v>125</v>
      </c>
      <c r="J12" s="33">
        <v>400</v>
      </c>
      <c r="K12" s="33" t="s">
        <v>203</v>
      </c>
      <c r="L12" s="33" t="s">
        <v>228</v>
      </c>
      <c r="M12" s="25"/>
      <c r="N12" s="14"/>
    </row>
    <row r="13" spans="1:19">
      <c r="A13" s="34" t="s">
        <v>397</v>
      </c>
      <c r="B13" s="31">
        <v>0</v>
      </c>
      <c r="C13" s="31">
        <v>65535</v>
      </c>
      <c r="D13" s="36" t="s">
        <v>196</v>
      </c>
      <c r="E13" s="36" t="s">
        <v>195</v>
      </c>
      <c r="F13" s="36">
        <v>25</v>
      </c>
      <c r="G13" s="36">
        <v>0</v>
      </c>
      <c r="H13" s="36">
        <v>4</v>
      </c>
      <c r="I13" s="36">
        <v>125</v>
      </c>
      <c r="J13" s="36">
        <v>400</v>
      </c>
      <c r="K13" s="36" t="s">
        <v>203</v>
      </c>
      <c r="L13" s="33" t="s">
        <v>228</v>
      </c>
      <c r="M13" s="25"/>
      <c r="N13" s="14"/>
    </row>
    <row r="14" spans="1:19">
      <c r="A14" s="34" t="s">
        <v>398</v>
      </c>
      <c r="B14" s="31">
        <v>0</v>
      </c>
      <c r="C14" s="50">
        <v>65535</v>
      </c>
      <c r="D14" s="36" t="s">
        <v>206</v>
      </c>
      <c r="E14" s="36" t="s">
        <v>195</v>
      </c>
      <c r="F14" s="36">
        <v>15</v>
      </c>
      <c r="G14" s="36">
        <v>0</v>
      </c>
      <c r="H14" s="36">
        <v>2</v>
      </c>
      <c r="I14" s="36">
        <v>150</v>
      </c>
      <c r="J14" s="36">
        <v>50</v>
      </c>
      <c r="K14" s="36" t="s">
        <v>203</v>
      </c>
      <c r="L14" s="33" t="s">
        <v>228</v>
      </c>
      <c r="M14" s="25"/>
      <c r="N14" s="14"/>
    </row>
    <row r="15" spans="1:19">
      <c r="A15" s="34" t="s">
        <v>207</v>
      </c>
      <c r="B15" s="31">
        <v>0</v>
      </c>
      <c r="C15" s="50">
        <v>65535</v>
      </c>
      <c r="D15" s="36" t="s">
        <v>206</v>
      </c>
      <c r="E15" s="36" t="s">
        <v>195</v>
      </c>
      <c r="F15" s="36">
        <v>15</v>
      </c>
      <c r="G15" s="36">
        <v>0</v>
      </c>
      <c r="H15" s="36">
        <v>2</v>
      </c>
      <c r="I15" s="36">
        <v>150</v>
      </c>
      <c r="J15" s="36">
        <v>50</v>
      </c>
      <c r="K15" s="36" t="s">
        <v>203</v>
      </c>
      <c r="L15" s="33" t="s">
        <v>228</v>
      </c>
      <c r="M15" s="25"/>
      <c r="N15" s="14"/>
    </row>
    <row r="16" spans="1:19">
      <c r="A16" s="34" t="s">
        <v>209</v>
      </c>
      <c r="B16" s="31">
        <v>0</v>
      </c>
      <c r="C16" s="31">
        <v>65535</v>
      </c>
      <c r="D16" s="36" t="s">
        <v>208</v>
      </c>
      <c r="E16" s="36" t="s">
        <v>195</v>
      </c>
      <c r="F16" s="36">
        <v>15</v>
      </c>
      <c r="G16" s="36">
        <v>0</v>
      </c>
      <c r="H16" s="36">
        <v>2</v>
      </c>
      <c r="I16" s="36">
        <v>150</v>
      </c>
      <c r="J16" s="36">
        <v>50</v>
      </c>
      <c r="K16" s="36" t="s">
        <v>203</v>
      </c>
      <c r="L16" s="33" t="s">
        <v>228</v>
      </c>
      <c r="M16" s="25"/>
      <c r="N16" s="14"/>
      <c r="S16" s="12"/>
    </row>
    <row r="17" spans="1:14">
      <c r="A17" s="34" t="s">
        <v>399</v>
      </c>
      <c r="B17" s="31">
        <v>0</v>
      </c>
      <c r="C17" s="50">
        <v>65535</v>
      </c>
      <c r="D17" s="36" t="s">
        <v>208</v>
      </c>
      <c r="E17" s="36" t="s">
        <v>195</v>
      </c>
      <c r="F17" s="36">
        <v>15</v>
      </c>
      <c r="G17" s="36">
        <v>0</v>
      </c>
      <c r="H17" s="36">
        <v>2</v>
      </c>
      <c r="I17" s="36">
        <v>150</v>
      </c>
      <c r="J17" s="36">
        <v>400</v>
      </c>
      <c r="K17" s="36" t="s">
        <v>203</v>
      </c>
      <c r="L17" s="33" t="s">
        <v>228</v>
      </c>
      <c r="M17" s="25"/>
      <c r="N17" s="14"/>
    </row>
    <row r="18" spans="1:14">
      <c r="A18" s="34" t="s">
        <v>400</v>
      </c>
      <c r="B18" s="31">
        <v>0</v>
      </c>
      <c r="C18" s="31">
        <v>65535</v>
      </c>
      <c r="D18" s="36" t="s">
        <v>208</v>
      </c>
      <c r="E18" s="36" t="s">
        <v>195</v>
      </c>
      <c r="F18" s="36">
        <v>15</v>
      </c>
      <c r="G18" s="36">
        <v>0</v>
      </c>
      <c r="H18" s="36">
        <v>2</v>
      </c>
      <c r="I18" s="36">
        <v>150</v>
      </c>
      <c r="J18" s="36">
        <v>400</v>
      </c>
      <c r="K18" s="36" t="s">
        <v>203</v>
      </c>
      <c r="L18" s="33" t="s">
        <v>228</v>
      </c>
      <c r="M18" s="25"/>
      <c r="N18" s="14"/>
    </row>
    <row r="19" spans="1:14">
      <c r="A19" s="34" t="s">
        <v>401</v>
      </c>
      <c r="B19" s="31">
        <v>0</v>
      </c>
      <c r="C19" s="31">
        <v>65535</v>
      </c>
      <c r="D19" s="36" t="s">
        <v>206</v>
      </c>
      <c r="E19" s="36" t="s">
        <v>195</v>
      </c>
      <c r="F19" s="36">
        <v>15</v>
      </c>
      <c r="G19" s="36">
        <v>0</v>
      </c>
      <c r="H19" s="36">
        <v>2</v>
      </c>
      <c r="I19" s="36">
        <v>150</v>
      </c>
      <c r="J19" s="36">
        <v>400</v>
      </c>
      <c r="K19" s="36" t="s">
        <v>203</v>
      </c>
      <c r="L19" s="33" t="s">
        <v>228</v>
      </c>
      <c r="M19" s="25"/>
      <c r="N19" s="14"/>
    </row>
    <row r="20" spans="1:14">
      <c r="A20" s="34" t="s">
        <v>402</v>
      </c>
      <c r="B20" s="31">
        <v>0</v>
      </c>
      <c r="C20" s="50">
        <v>65535</v>
      </c>
      <c r="D20" s="36" t="s">
        <v>206</v>
      </c>
      <c r="E20" s="36" t="s">
        <v>195</v>
      </c>
      <c r="F20" s="36">
        <v>15</v>
      </c>
      <c r="G20" s="36">
        <v>0</v>
      </c>
      <c r="H20" s="36">
        <v>2</v>
      </c>
      <c r="I20" s="36">
        <v>150</v>
      </c>
      <c r="J20" s="36">
        <v>400</v>
      </c>
      <c r="K20" s="36" t="s">
        <v>203</v>
      </c>
      <c r="L20" s="33" t="s">
        <v>228</v>
      </c>
      <c r="M20" s="25"/>
      <c r="N20" s="14"/>
    </row>
    <row r="21" spans="1:14">
      <c r="A21" s="34" t="s">
        <v>403</v>
      </c>
      <c r="B21" s="31">
        <v>0</v>
      </c>
      <c r="C21" s="50">
        <v>65535</v>
      </c>
      <c r="D21" s="36" t="s">
        <v>206</v>
      </c>
      <c r="E21" s="36" t="s">
        <v>195</v>
      </c>
      <c r="F21" s="36">
        <v>15</v>
      </c>
      <c r="G21" s="36">
        <v>0</v>
      </c>
      <c r="H21" s="36">
        <v>4</v>
      </c>
      <c r="I21" s="36">
        <v>150</v>
      </c>
      <c r="J21" s="36">
        <v>400</v>
      </c>
      <c r="K21" s="36" t="s">
        <v>203</v>
      </c>
      <c r="L21" s="33" t="s">
        <v>228</v>
      </c>
      <c r="M21" s="25"/>
      <c r="N21" s="14"/>
    </row>
    <row r="22" spans="1:14">
      <c r="A22" s="34" t="s">
        <v>255</v>
      </c>
      <c r="B22" s="31">
        <v>14.32</v>
      </c>
      <c r="C22" s="50">
        <v>46001</v>
      </c>
      <c r="D22" s="36" t="s">
        <v>256</v>
      </c>
      <c r="E22" s="36" t="s">
        <v>195</v>
      </c>
      <c r="F22" s="36">
        <v>0.6</v>
      </c>
      <c r="G22" s="36">
        <v>0</v>
      </c>
      <c r="H22" s="36">
        <v>1</v>
      </c>
      <c r="I22" s="36">
        <v>30</v>
      </c>
      <c r="J22" s="36">
        <v>600</v>
      </c>
      <c r="K22" s="36" t="s">
        <v>111</v>
      </c>
      <c r="L22" s="33" t="s">
        <v>193</v>
      </c>
      <c r="M22" s="25"/>
      <c r="N22" s="14"/>
    </row>
    <row r="23" spans="1:14">
      <c r="A23" s="34" t="s">
        <v>124</v>
      </c>
      <c r="B23" s="31">
        <v>0</v>
      </c>
      <c r="C23" s="50">
        <v>65535</v>
      </c>
      <c r="D23" s="36" t="s">
        <v>210</v>
      </c>
      <c r="E23" s="36" t="s">
        <v>195</v>
      </c>
      <c r="F23" s="36">
        <v>0.6</v>
      </c>
      <c r="G23" s="36">
        <v>2</v>
      </c>
      <c r="H23" s="36">
        <v>4</v>
      </c>
      <c r="I23" s="36">
        <v>30</v>
      </c>
      <c r="J23" s="36">
        <v>1210</v>
      </c>
      <c r="K23" s="36" t="s">
        <v>113</v>
      </c>
      <c r="L23" s="33" t="s">
        <v>193</v>
      </c>
      <c r="M23" s="25"/>
      <c r="N23" s="14"/>
    </row>
    <row r="24" spans="1:14">
      <c r="A24" s="34" t="s">
        <v>125</v>
      </c>
      <c r="B24" s="31">
        <v>88.54</v>
      </c>
      <c r="C24" s="50">
        <v>46001</v>
      </c>
      <c r="D24" s="36" t="s">
        <v>210</v>
      </c>
      <c r="E24" s="36" t="s">
        <v>195</v>
      </c>
      <c r="F24" s="36">
        <v>0.6</v>
      </c>
      <c r="G24" s="36">
        <v>2</v>
      </c>
      <c r="H24" s="36">
        <v>6</v>
      </c>
      <c r="I24" s="36">
        <v>30</v>
      </c>
      <c r="J24" s="36">
        <v>1210</v>
      </c>
      <c r="K24" s="36" t="s">
        <v>113</v>
      </c>
      <c r="L24" s="33" t="s">
        <v>193</v>
      </c>
      <c r="M24" s="25"/>
      <c r="N24" s="14"/>
    </row>
    <row r="25" spans="1:14">
      <c r="A25" s="34" t="s">
        <v>126</v>
      </c>
      <c r="B25" s="31">
        <v>91.31</v>
      </c>
      <c r="C25" s="50">
        <v>46001</v>
      </c>
      <c r="D25" s="36" t="s">
        <v>210</v>
      </c>
      <c r="E25" s="36" t="s">
        <v>195</v>
      </c>
      <c r="F25" s="36">
        <v>0.6</v>
      </c>
      <c r="G25" s="36">
        <v>2</v>
      </c>
      <c r="H25" s="36">
        <v>8</v>
      </c>
      <c r="I25" s="36">
        <v>30</v>
      </c>
      <c r="J25" s="36">
        <v>1210</v>
      </c>
      <c r="K25" s="36" t="s">
        <v>113</v>
      </c>
      <c r="L25" s="33" t="s">
        <v>193</v>
      </c>
      <c r="M25" s="25"/>
      <c r="N25" s="14"/>
    </row>
    <row r="26" spans="1:14">
      <c r="A26" s="34" t="s">
        <v>127</v>
      </c>
      <c r="B26" s="31">
        <v>0</v>
      </c>
      <c r="C26" s="31">
        <v>65535</v>
      </c>
      <c r="D26" s="36" t="s">
        <v>210</v>
      </c>
      <c r="E26" s="36" t="s">
        <v>195</v>
      </c>
      <c r="F26" s="36">
        <v>0.6</v>
      </c>
      <c r="G26" s="36">
        <v>2</v>
      </c>
      <c r="H26" s="36">
        <v>10</v>
      </c>
      <c r="I26" s="36">
        <v>30</v>
      </c>
      <c r="J26" s="36">
        <v>1210</v>
      </c>
      <c r="K26" s="36" t="s">
        <v>113</v>
      </c>
      <c r="L26" s="33" t="s">
        <v>193</v>
      </c>
      <c r="M26" s="25"/>
      <c r="N26" s="14"/>
    </row>
    <row r="27" spans="1:14">
      <c r="A27" s="32" t="s">
        <v>128</v>
      </c>
      <c r="B27" s="43">
        <v>144.2456</v>
      </c>
      <c r="C27" s="51">
        <v>45565</v>
      </c>
      <c r="D27" s="36" t="s">
        <v>210</v>
      </c>
      <c r="E27" s="33" t="s">
        <v>195</v>
      </c>
      <c r="F27" s="33">
        <v>0.6</v>
      </c>
      <c r="G27" s="33">
        <v>2</v>
      </c>
      <c r="H27" s="33">
        <v>12</v>
      </c>
      <c r="I27" s="33">
        <v>30</v>
      </c>
      <c r="J27" s="33">
        <v>1210</v>
      </c>
      <c r="K27" s="33" t="s">
        <v>113</v>
      </c>
      <c r="L27" s="33" t="s">
        <v>193</v>
      </c>
      <c r="M27" s="25"/>
      <c r="N27" s="14"/>
    </row>
    <row r="28" spans="1:14">
      <c r="A28" s="32" t="s">
        <v>129</v>
      </c>
      <c r="B28" s="43">
        <v>0</v>
      </c>
      <c r="C28" s="51">
        <v>65535</v>
      </c>
      <c r="D28" s="33" t="s">
        <v>210</v>
      </c>
      <c r="E28" s="33" t="s">
        <v>195</v>
      </c>
      <c r="F28" s="33">
        <v>0.6</v>
      </c>
      <c r="G28" s="33">
        <v>2</v>
      </c>
      <c r="H28" s="33">
        <v>6</v>
      </c>
      <c r="I28" s="33">
        <v>30</v>
      </c>
      <c r="J28" s="33">
        <v>1210</v>
      </c>
      <c r="K28" s="33" t="s">
        <v>113</v>
      </c>
      <c r="L28" s="33" t="s">
        <v>193</v>
      </c>
      <c r="M28" s="25"/>
      <c r="N28" s="14"/>
    </row>
    <row r="29" spans="1:14">
      <c r="A29" s="32" t="s">
        <v>130</v>
      </c>
      <c r="B29" s="43">
        <v>0</v>
      </c>
      <c r="C29" s="51">
        <v>65535</v>
      </c>
      <c r="D29" s="33" t="s">
        <v>210</v>
      </c>
      <c r="E29" s="33" t="s">
        <v>195</v>
      </c>
      <c r="F29" s="33">
        <v>0.6</v>
      </c>
      <c r="G29" s="33">
        <v>2</v>
      </c>
      <c r="H29" s="33">
        <v>8</v>
      </c>
      <c r="I29" s="33">
        <v>30</v>
      </c>
      <c r="J29" s="33">
        <v>1210</v>
      </c>
      <c r="K29" s="33" t="s">
        <v>113</v>
      </c>
      <c r="L29" s="33" t="s">
        <v>193</v>
      </c>
      <c r="M29" s="25"/>
      <c r="N29" s="14"/>
    </row>
    <row r="30" spans="1:14">
      <c r="A30" s="32" t="s">
        <v>131</v>
      </c>
      <c r="B30" s="43">
        <v>200.12530000000001</v>
      </c>
      <c r="C30" s="51">
        <v>45565</v>
      </c>
      <c r="D30" s="33" t="s">
        <v>210</v>
      </c>
      <c r="E30" s="33" t="s">
        <v>195</v>
      </c>
      <c r="F30" s="33">
        <v>0.6</v>
      </c>
      <c r="G30" s="33">
        <v>2</v>
      </c>
      <c r="H30" s="33">
        <v>4</v>
      </c>
      <c r="I30" s="33">
        <v>30</v>
      </c>
      <c r="J30" s="33">
        <v>2410</v>
      </c>
      <c r="K30" s="33" t="s">
        <v>113</v>
      </c>
      <c r="L30" s="33" t="s">
        <v>193</v>
      </c>
      <c r="M30" s="25"/>
      <c r="N30" s="14"/>
    </row>
    <row r="31" spans="1:14">
      <c r="A31" s="38" t="s">
        <v>132</v>
      </c>
      <c r="B31" s="37">
        <v>110.46</v>
      </c>
      <c r="C31" s="75">
        <v>44557</v>
      </c>
      <c r="D31" s="37" t="s">
        <v>210</v>
      </c>
      <c r="E31" s="37" t="s">
        <v>195</v>
      </c>
      <c r="F31" s="37">
        <v>0.6</v>
      </c>
      <c r="G31" s="37">
        <v>2</v>
      </c>
      <c r="H31" s="37">
        <v>6</v>
      </c>
      <c r="I31" s="37">
        <v>30</v>
      </c>
      <c r="J31" s="37">
        <v>2410</v>
      </c>
      <c r="K31" s="37" t="s">
        <v>113</v>
      </c>
      <c r="L31" s="37" t="s">
        <v>193</v>
      </c>
      <c r="M31" s="25"/>
      <c r="N31" s="14"/>
    </row>
    <row r="32" spans="1:14">
      <c r="A32" s="38" t="s">
        <v>133</v>
      </c>
      <c r="B32" s="37">
        <v>172.73</v>
      </c>
      <c r="C32" s="75">
        <v>46001</v>
      </c>
      <c r="D32" s="37" t="s">
        <v>210</v>
      </c>
      <c r="E32" s="37" t="s">
        <v>195</v>
      </c>
      <c r="F32" s="37">
        <v>0.6</v>
      </c>
      <c r="G32" s="37">
        <v>2</v>
      </c>
      <c r="H32" s="37">
        <v>6</v>
      </c>
      <c r="I32" s="37">
        <v>30</v>
      </c>
      <c r="J32" s="37">
        <v>2410</v>
      </c>
      <c r="K32" s="37" t="s">
        <v>113</v>
      </c>
      <c r="L32" s="37" t="s">
        <v>193</v>
      </c>
      <c r="M32" s="25"/>
      <c r="N32" s="14"/>
    </row>
    <row r="33" spans="1:14">
      <c r="A33" s="38" t="s">
        <v>134</v>
      </c>
      <c r="B33" s="37">
        <v>188.79</v>
      </c>
      <c r="C33" s="75">
        <v>46001</v>
      </c>
      <c r="D33" s="37" t="s">
        <v>210</v>
      </c>
      <c r="E33" s="37" t="s">
        <v>195</v>
      </c>
      <c r="F33" s="37">
        <v>0.6</v>
      </c>
      <c r="G33" s="37">
        <v>2</v>
      </c>
      <c r="H33" s="37">
        <v>8</v>
      </c>
      <c r="I33" s="37">
        <v>30</v>
      </c>
      <c r="J33" s="37">
        <v>2410</v>
      </c>
      <c r="K33" s="37" t="s">
        <v>113</v>
      </c>
      <c r="L33" s="37" t="s">
        <v>193</v>
      </c>
      <c r="M33" s="25"/>
      <c r="N33" s="14"/>
    </row>
    <row r="34" spans="1:14">
      <c r="A34" s="38" t="s">
        <v>135</v>
      </c>
      <c r="B34" s="37">
        <v>0</v>
      </c>
      <c r="C34" s="37">
        <v>65535</v>
      </c>
      <c r="D34" s="37" t="s">
        <v>210</v>
      </c>
      <c r="E34" s="37" t="s">
        <v>195</v>
      </c>
      <c r="F34" s="37">
        <v>0.6</v>
      </c>
      <c r="G34" s="37">
        <v>2</v>
      </c>
      <c r="H34" s="37">
        <v>10</v>
      </c>
      <c r="I34" s="37">
        <v>30</v>
      </c>
      <c r="J34" s="37">
        <v>2410</v>
      </c>
      <c r="K34" s="37" t="s">
        <v>113</v>
      </c>
      <c r="L34" s="37" t="s">
        <v>193</v>
      </c>
      <c r="M34" s="25"/>
      <c r="N34" s="14"/>
    </row>
    <row r="35" spans="1:14">
      <c r="A35" s="38" t="s">
        <v>136</v>
      </c>
      <c r="B35" s="37">
        <v>116.87</v>
      </c>
      <c r="C35" s="75">
        <v>44692</v>
      </c>
      <c r="D35" s="37" t="s">
        <v>210</v>
      </c>
      <c r="E35" s="37" t="s">
        <v>195</v>
      </c>
      <c r="F35" s="37">
        <v>0.6</v>
      </c>
      <c r="G35" s="37">
        <v>2</v>
      </c>
      <c r="H35" s="37">
        <v>12</v>
      </c>
      <c r="I35" s="37">
        <v>30</v>
      </c>
      <c r="J35" s="37">
        <v>2410</v>
      </c>
      <c r="K35" s="37" t="s">
        <v>113</v>
      </c>
      <c r="L35" s="37" t="s">
        <v>193</v>
      </c>
      <c r="M35" s="25"/>
      <c r="N35" s="14"/>
    </row>
    <row r="36" spans="1:14">
      <c r="A36" s="38" t="s">
        <v>137</v>
      </c>
      <c r="B36" s="37">
        <v>0</v>
      </c>
      <c r="C36" s="37">
        <v>65535</v>
      </c>
      <c r="D36" s="37" t="s">
        <v>210</v>
      </c>
      <c r="E36" s="37" t="s">
        <v>195</v>
      </c>
      <c r="F36" s="37">
        <v>0.6</v>
      </c>
      <c r="G36" s="37">
        <v>2</v>
      </c>
      <c r="H36" s="37">
        <v>8</v>
      </c>
      <c r="I36" s="37">
        <v>30</v>
      </c>
      <c r="J36" s="37">
        <v>2410</v>
      </c>
      <c r="K36" s="37" t="s">
        <v>113</v>
      </c>
      <c r="L36" s="37" t="s">
        <v>193</v>
      </c>
      <c r="M36" s="25"/>
      <c r="N36" s="14"/>
    </row>
    <row r="37" spans="1:14">
      <c r="A37" s="38" t="s">
        <v>404</v>
      </c>
      <c r="B37" s="37">
        <v>841.38</v>
      </c>
      <c r="C37" s="75">
        <v>45218</v>
      </c>
      <c r="D37" s="37" t="s">
        <v>210</v>
      </c>
      <c r="E37" s="37" t="s">
        <v>195</v>
      </c>
      <c r="F37" s="37">
        <v>2.5</v>
      </c>
      <c r="G37" s="37">
        <v>0</v>
      </c>
      <c r="H37" s="37">
        <v>14</v>
      </c>
      <c r="I37" s="37">
        <v>45</v>
      </c>
      <c r="J37" s="37">
        <v>0</v>
      </c>
      <c r="K37" s="37" t="s">
        <v>113</v>
      </c>
      <c r="L37" s="37" t="s">
        <v>193</v>
      </c>
      <c r="M37" s="25"/>
      <c r="N37" s="14"/>
    </row>
    <row r="38" spans="1:14">
      <c r="A38" s="38" t="s">
        <v>405</v>
      </c>
      <c r="B38" s="37">
        <v>130.19999999999999</v>
      </c>
      <c r="C38" s="75">
        <v>45744</v>
      </c>
      <c r="D38" s="37" t="s">
        <v>210</v>
      </c>
      <c r="E38" s="37" t="s">
        <v>195</v>
      </c>
      <c r="F38" s="37">
        <v>2.5</v>
      </c>
      <c r="G38" s="37">
        <v>4</v>
      </c>
      <c r="H38" s="37">
        <v>4</v>
      </c>
      <c r="I38" s="37">
        <v>45</v>
      </c>
      <c r="J38" s="37">
        <v>3010</v>
      </c>
      <c r="K38" s="37" t="s">
        <v>113</v>
      </c>
      <c r="L38" s="37" t="s">
        <v>193</v>
      </c>
      <c r="M38" s="25"/>
      <c r="N38" s="14"/>
    </row>
    <row r="39" spans="1:14">
      <c r="A39" s="38" t="s">
        <v>406</v>
      </c>
      <c r="B39" s="37">
        <v>141.09739999999999</v>
      </c>
      <c r="C39" s="75">
        <v>45199</v>
      </c>
      <c r="D39" s="37" t="s">
        <v>210</v>
      </c>
      <c r="E39" s="37" t="s">
        <v>195</v>
      </c>
      <c r="F39" s="37">
        <v>2.5</v>
      </c>
      <c r="G39" s="37">
        <v>4</v>
      </c>
      <c r="H39" s="37">
        <v>6</v>
      </c>
      <c r="I39" s="37">
        <v>45</v>
      </c>
      <c r="J39" s="37">
        <v>3010</v>
      </c>
      <c r="K39" s="37" t="s">
        <v>113</v>
      </c>
      <c r="L39" s="37" t="s">
        <v>193</v>
      </c>
      <c r="M39" s="25"/>
      <c r="N39" s="14"/>
    </row>
    <row r="40" spans="1:14">
      <c r="A40" s="38" t="s">
        <v>407</v>
      </c>
      <c r="B40" s="37">
        <v>154.74</v>
      </c>
      <c r="C40" s="75">
        <v>45961</v>
      </c>
      <c r="D40" s="37" t="s">
        <v>210</v>
      </c>
      <c r="E40" s="37" t="s">
        <v>195</v>
      </c>
      <c r="F40" s="37">
        <v>2.5</v>
      </c>
      <c r="G40" s="37">
        <v>4</v>
      </c>
      <c r="H40" s="37">
        <v>8</v>
      </c>
      <c r="I40" s="37">
        <v>45</v>
      </c>
      <c r="J40" s="37">
        <v>3010</v>
      </c>
      <c r="K40" s="37" t="s">
        <v>113</v>
      </c>
      <c r="L40" s="37" t="s">
        <v>193</v>
      </c>
      <c r="M40" s="25"/>
      <c r="N40" s="14"/>
    </row>
    <row r="41" spans="1:14">
      <c r="A41" s="38" t="s">
        <v>408</v>
      </c>
      <c r="B41" s="37">
        <v>140.91999999999999</v>
      </c>
      <c r="C41" s="75">
        <v>45733</v>
      </c>
      <c r="D41" s="37" t="s">
        <v>210</v>
      </c>
      <c r="E41" s="37" t="s">
        <v>195</v>
      </c>
      <c r="F41" s="37">
        <v>2.5</v>
      </c>
      <c r="G41" s="37">
        <v>4</v>
      </c>
      <c r="H41" s="37">
        <v>10</v>
      </c>
      <c r="I41" s="37">
        <v>45</v>
      </c>
      <c r="J41" s="37">
        <v>3010</v>
      </c>
      <c r="K41" s="37" t="s">
        <v>113</v>
      </c>
      <c r="L41" s="37" t="s">
        <v>193</v>
      </c>
      <c r="M41" s="25"/>
      <c r="N41" s="14"/>
    </row>
    <row r="42" spans="1:14">
      <c r="A42" s="23" t="s">
        <v>409</v>
      </c>
      <c r="B42" s="76">
        <v>150.02629999999999</v>
      </c>
      <c r="C42" s="77">
        <v>44104</v>
      </c>
      <c r="D42" s="41" t="s">
        <v>210</v>
      </c>
      <c r="E42" s="41" t="s">
        <v>195</v>
      </c>
      <c r="F42" s="41">
        <v>2.5</v>
      </c>
      <c r="G42" s="41">
        <v>4</v>
      </c>
      <c r="H42" s="41">
        <v>12</v>
      </c>
      <c r="I42" s="41">
        <v>45</v>
      </c>
      <c r="J42" s="41">
        <v>3010</v>
      </c>
      <c r="K42" s="41" t="s">
        <v>113</v>
      </c>
      <c r="L42" s="37" t="s">
        <v>193</v>
      </c>
      <c r="M42" s="25"/>
      <c r="N42" s="14"/>
    </row>
    <row r="43" spans="1:14">
      <c r="A43" s="23" t="s">
        <v>410</v>
      </c>
      <c r="B43" s="76">
        <v>0</v>
      </c>
      <c r="C43" s="77">
        <v>65535</v>
      </c>
      <c r="D43" s="41" t="s">
        <v>210</v>
      </c>
      <c r="E43" s="41" t="s">
        <v>195</v>
      </c>
      <c r="F43" s="41">
        <v>2.5</v>
      </c>
      <c r="G43" s="41">
        <v>4</v>
      </c>
      <c r="H43" s="41">
        <v>16</v>
      </c>
      <c r="I43" s="41">
        <v>45</v>
      </c>
      <c r="J43" s="41">
        <v>3010</v>
      </c>
      <c r="K43" s="41" t="s">
        <v>113</v>
      </c>
      <c r="L43" s="37" t="s">
        <v>193</v>
      </c>
      <c r="M43" s="25"/>
      <c r="N43" s="14"/>
    </row>
    <row r="44" spans="1:14">
      <c r="A44" s="23" t="s">
        <v>411</v>
      </c>
      <c r="B44" s="76">
        <v>0</v>
      </c>
      <c r="C44" s="77">
        <v>65535</v>
      </c>
      <c r="D44" s="41" t="s">
        <v>210</v>
      </c>
      <c r="E44" s="41" t="s">
        <v>195</v>
      </c>
      <c r="F44" s="41">
        <v>2.5</v>
      </c>
      <c r="G44" s="41">
        <v>4</v>
      </c>
      <c r="H44" s="41">
        <v>8</v>
      </c>
      <c r="I44" s="41">
        <v>45</v>
      </c>
      <c r="J44" s="41">
        <v>3010</v>
      </c>
      <c r="K44" s="41" t="s">
        <v>113</v>
      </c>
      <c r="L44" s="37" t="s">
        <v>193</v>
      </c>
      <c r="M44" s="25"/>
      <c r="N44" s="14"/>
    </row>
    <row r="45" spans="1:14">
      <c r="A45" s="23" t="s">
        <v>412</v>
      </c>
      <c r="B45" s="76">
        <v>152.16</v>
      </c>
      <c r="C45" s="77">
        <v>44965</v>
      </c>
      <c r="D45" s="41" t="s">
        <v>210</v>
      </c>
      <c r="E45" s="41" t="s">
        <v>195</v>
      </c>
      <c r="F45" s="41">
        <v>2.5</v>
      </c>
      <c r="G45" s="41">
        <v>4</v>
      </c>
      <c r="H45" s="41">
        <v>20</v>
      </c>
      <c r="I45" s="41">
        <v>45</v>
      </c>
      <c r="J45" s="41">
        <v>3150</v>
      </c>
      <c r="K45" s="41" t="s">
        <v>113</v>
      </c>
      <c r="L45" s="37" t="s">
        <v>193</v>
      </c>
      <c r="M45" s="25"/>
      <c r="N45" s="14"/>
    </row>
    <row r="46" spans="1:14">
      <c r="A46" s="23" t="s">
        <v>413</v>
      </c>
      <c r="B46" s="76">
        <v>321.09059999999999</v>
      </c>
      <c r="C46" s="77">
        <v>45565</v>
      </c>
      <c r="D46" s="41" t="s">
        <v>210</v>
      </c>
      <c r="E46" s="41" t="s">
        <v>195</v>
      </c>
      <c r="F46" s="41">
        <v>2.5</v>
      </c>
      <c r="G46" s="41">
        <v>4</v>
      </c>
      <c r="H46" s="41">
        <v>4</v>
      </c>
      <c r="I46" s="41">
        <v>45</v>
      </c>
      <c r="J46" s="41">
        <v>4300</v>
      </c>
      <c r="K46" s="41" t="s">
        <v>113</v>
      </c>
      <c r="L46" s="37" t="s">
        <v>193</v>
      </c>
      <c r="M46" s="25"/>
      <c r="N46" s="14"/>
    </row>
    <row r="47" spans="1:14">
      <c r="A47" s="23" t="s">
        <v>414</v>
      </c>
      <c r="B47" s="76">
        <v>394.2</v>
      </c>
      <c r="C47" s="77">
        <v>46001</v>
      </c>
      <c r="D47" s="41" t="s">
        <v>210</v>
      </c>
      <c r="E47" s="41" t="s">
        <v>195</v>
      </c>
      <c r="F47" s="41">
        <v>2.5</v>
      </c>
      <c r="G47" s="41">
        <v>4</v>
      </c>
      <c r="H47" s="41">
        <v>6</v>
      </c>
      <c r="I47" s="41">
        <v>45</v>
      </c>
      <c r="J47" s="41">
        <v>4300</v>
      </c>
      <c r="K47" s="41" t="s">
        <v>113</v>
      </c>
      <c r="L47" s="37" t="s">
        <v>193</v>
      </c>
      <c r="M47" s="25"/>
      <c r="N47" s="14"/>
    </row>
    <row r="48" spans="1:14">
      <c r="A48" s="23" t="s">
        <v>415</v>
      </c>
      <c r="B48" s="76">
        <v>351.1</v>
      </c>
      <c r="C48" s="77">
        <v>45961</v>
      </c>
      <c r="D48" s="41" t="s">
        <v>210</v>
      </c>
      <c r="E48" s="41" t="s">
        <v>195</v>
      </c>
      <c r="F48" s="41">
        <v>2.5</v>
      </c>
      <c r="G48" s="41">
        <v>4</v>
      </c>
      <c r="H48" s="41">
        <v>8</v>
      </c>
      <c r="I48" s="41">
        <v>45</v>
      </c>
      <c r="J48" s="41">
        <v>4300</v>
      </c>
      <c r="K48" s="41" t="s">
        <v>113</v>
      </c>
      <c r="L48" s="37" t="s">
        <v>193</v>
      </c>
      <c r="M48" s="25"/>
      <c r="N48" s="14"/>
    </row>
    <row r="49" spans="1:14">
      <c r="A49" s="23" t="s">
        <v>416</v>
      </c>
      <c r="B49" s="76">
        <v>379.45</v>
      </c>
      <c r="C49" s="77">
        <v>45930</v>
      </c>
      <c r="D49" s="41" t="s">
        <v>210</v>
      </c>
      <c r="E49" s="41" t="s">
        <v>195</v>
      </c>
      <c r="F49" s="41">
        <v>2.5</v>
      </c>
      <c r="G49" s="41">
        <v>4</v>
      </c>
      <c r="H49" s="41">
        <v>10</v>
      </c>
      <c r="I49" s="41">
        <v>45</v>
      </c>
      <c r="J49" s="41">
        <v>4300</v>
      </c>
      <c r="K49" s="41" t="s">
        <v>113</v>
      </c>
      <c r="L49" s="37" t="s">
        <v>193</v>
      </c>
      <c r="M49" s="25"/>
      <c r="N49" s="14"/>
    </row>
    <row r="50" spans="1:14">
      <c r="A50" s="23" t="s">
        <v>417</v>
      </c>
      <c r="B50" s="76">
        <v>331.41</v>
      </c>
      <c r="C50" s="77">
        <v>45008</v>
      </c>
      <c r="D50" s="41" t="s">
        <v>210</v>
      </c>
      <c r="E50" s="41" t="s">
        <v>195</v>
      </c>
      <c r="F50" s="41">
        <v>2.5</v>
      </c>
      <c r="G50" s="41">
        <v>4</v>
      </c>
      <c r="H50" s="41">
        <v>12</v>
      </c>
      <c r="I50" s="41">
        <v>45</v>
      </c>
      <c r="J50" s="41">
        <v>4300</v>
      </c>
      <c r="K50" s="41" t="s">
        <v>113</v>
      </c>
      <c r="L50" s="37" t="s">
        <v>193</v>
      </c>
      <c r="M50" s="25"/>
      <c r="N50" s="14"/>
    </row>
    <row r="51" spans="1:14">
      <c r="A51" s="23" t="s">
        <v>418</v>
      </c>
      <c r="B51" s="76">
        <v>288.13</v>
      </c>
      <c r="C51" s="77">
        <v>44165</v>
      </c>
      <c r="D51" s="41" t="s">
        <v>210</v>
      </c>
      <c r="E51" s="41" t="s">
        <v>195</v>
      </c>
      <c r="F51" s="41">
        <v>2.5</v>
      </c>
      <c r="G51" s="41">
        <v>4</v>
      </c>
      <c r="H51" s="41">
        <v>16</v>
      </c>
      <c r="I51" s="41">
        <v>45</v>
      </c>
      <c r="J51" s="41">
        <v>4300</v>
      </c>
      <c r="K51" s="41" t="s">
        <v>113</v>
      </c>
      <c r="L51" s="37" t="s">
        <v>193</v>
      </c>
      <c r="M51" s="25"/>
      <c r="N51" s="14"/>
    </row>
    <row r="52" spans="1:14">
      <c r="A52" s="23" t="s">
        <v>419</v>
      </c>
      <c r="B52" s="76">
        <v>0</v>
      </c>
      <c r="C52" s="77">
        <v>65535</v>
      </c>
      <c r="D52" s="41" t="s">
        <v>210</v>
      </c>
      <c r="E52" s="41" t="s">
        <v>195</v>
      </c>
      <c r="F52" s="41">
        <v>2.5</v>
      </c>
      <c r="G52" s="41">
        <v>4</v>
      </c>
      <c r="H52" s="41">
        <v>20</v>
      </c>
      <c r="I52" s="41">
        <v>45</v>
      </c>
      <c r="J52" s="41">
        <v>4300</v>
      </c>
      <c r="K52" s="41" t="s">
        <v>113</v>
      </c>
      <c r="L52" s="37" t="s">
        <v>193</v>
      </c>
      <c r="M52" s="25"/>
      <c r="N52" s="14"/>
    </row>
    <row r="53" spans="1:14">
      <c r="A53" s="23" t="s">
        <v>420</v>
      </c>
      <c r="B53" s="76">
        <v>780</v>
      </c>
      <c r="C53" s="77">
        <v>45581</v>
      </c>
      <c r="D53" s="41" t="s">
        <v>210</v>
      </c>
      <c r="E53" s="41" t="s">
        <v>195</v>
      </c>
      <c r="F53" s="41">
        <v>2.5</v>
      </c>
      <c r="G53" s="41">
        <v>0</v>
      </c>
      <c r="H53" s="41">
        <v>16</v>
      </c>
      <c r="I53" s="41">
        <v>45</v>
      </c>
      <c r="J53" s="41">
        <v>4515</v>
      </c>
      <c r="K53" s="41" t="s">
        <v>113</v>
      </c>
      <c r="L53" s="37" t="s">
        <v>193</v>
      </c>
      <c r="M53" s="25"/>
      <c r="N53" s="14"/>
    </row>
    <row r="54" spans="1:14">
      <c r="A54" s="23" t="s">
        <v>421</v>
      </c>
      <c r="B54" s="76">
        <v>0</v>
      </c>
      <c r="C54" s="76">
        <v>65535</v>
      </c>
      <c r="D54" s="41" t="s">
        <v>210</v>
      </c>
      <c r="E54" s="41" t="s">
        <v>195</v>
      </c>
      <c r="F54" s="41">
        <v>2.5</v>
      </c>
      <c r="G54" s="41">
        <v>0</v>
      </c>
      <c r="H54" s="41">
        <v>8</v>
      </c>
      <c r="I54" s="41">
        <v>45</v>
      </c>
      <c r="J54" s="41">
        <v>4515</v>
      </c>
      <c r="K54" s="41" t="s">
        <v>113</v>
      </c>
      <c r="L54" s="37" t="s">
        <v>193</v>
      </c>
      <c r="M54" s="25"/>
      <c r="N54" s="14"/>
    </row>
    <row r="55" spans="1:14">
      <c r="A55" s="23" t="s">
        <v>422</v>
      </c>
      <c r="B55" s="76">
        <v>526.87</v>
      </c>
      <c r="C55" s="77">
        <v>45961</v>
      </c>
      <c r="D55" s="41" t="s">
        <v>210</v>
      </c>
      <c r="E55" s="41" t="s">
        <v>195</v>
      </c>
      <c r="F55" s="41">
        <v>2.5</v>
      </c>
      <c r="G55" s="41">
        <v>0</v>
      </c>
      <c r="H55" s="41">
        <v>8</v>
      </c>
      <c r="I55" s="41">
        <v>45</v>
      </c>
      <c r="J55" s="41">
        <v>4515</v>
      </c>
      <c r="K55" s="41" t="s">
        <v>113</v>
      </c>
      <c r="L55" s="37" t="s">
        <v>193</v>
      </c>
      <c r="M55" s="25"/>
      <c r="N55" s="14"/>
    </row>
    <row r="56" spans="1:14">
      <c r="A56" s="23" t="s">
        <v>423</v>
      </c>
      <c r="B56" s="76">
        <v>532.29999999999995</v>
      </c>
      <c r="C56" s="77">
        <v>44985</v>
      </c>
      <c r="D56" s="41" t="s">
        <v>210</v>
      </c>
      <c r="E56" s="41" t="s">
        <v>195</v>
      </c>
      <c r="F56" s="41">
        <v>2.5</v>
      </c>
      <c r="G56" s="41">
        <v>0</v>
      </c>
      <c r="H56" s="41">
        <v>4</v>
      </c>
      <c r="I56" s="41">
        <v>45</v>
      </c>
      <c r="J56" s="41">
        <v>5000</v>
      </c>
      <c r="K56" s="41" t="s">
        <v>113</v>
      </c>
      <c r="L56" s="37" t="s">
        <v>193</v>
      </c>
      <c r="M56" s="25"/>
      <c r="N56" s="14"/>
    </row>
    <row r="57" spans="1:14">
      <c r="A57" s="23" t="s">
        <v>424</v>
      </c>
      <c r="B57" s="76">
        <v>536.07000000000005</v>
      </c>
      <c r="C57" s="77">
        <v>45861</v>
      </c>
      <c r="D57" s="41" t="s">
        <v>210</v>
      </c>
      <c r="E57" s="41" t="s">
        <v>195</v>
      </c>
      <c r="F57" s="41">
        <v>2.5</v>
      </c>
      <c r="G57" s="41">
        <v>0</v>
      </c>
      <c r="H57" s="41">
        <v>6</v>
      </c>
      <c r="I57" s="41">
        <v>45</v>
      </c>
      <c r="J57" s="41">
        <v>5000</v>
      </c>
      <c r="K57" s="41" t="s">
        <v>113</v>
      </c>
      <c r="L57" s="37" t="s">
        <v>193</v>
      </c>
      <c r="M57" s="25"/>
      <c r="N57" s="14"/>
    </row>
    <row r="58" spans="1:14">
      <c r="A58" s="23" t="s">
        <v>425</v>
      </c>
      <c r="B58" s="76">
        <v>737.5</v>
      </c>
      <c r="C58" s="77">
        <v>45925</v>
      </c>
      <c r="D58" s="41" t="s">
        <v>210</v>
      </c>
      <c r="E58" s="41" t="s">
        <v>195</v>
      </c>
      <c r="F58" s="41">
        <v>2.5</v>
      </c>
      <c r="G58" s="41">
        <v>0</v>
      </c>
      <c r="H58" s="41">
        <v>8</v>
      </c>
      <c r="I58" s="41">
        <v>45</v>
      </c>
      <c r="J58" s="41">
        <v>5000</v>
      </c>
      <c r="K58" s="41" t="s">
        <v>113</v>
      </c>
      <c r="L58" s="37" t="s">
        <v>193</v>
      </c>
      <c r="M58" s="25"/>
      <c r="N58" s="14"/>
    </row>
    <row r="59" spans="1:14">
      <c r="A59" s="23" t="s">
        <v>426</v>
      </c>
      <c r="B59" s="76">
        <v>498.27</v>
      </c>
      <c r="C59" s="77">
        <v>45382</v>
      </c>
      <c r="D59" s="41" t="s">
        <v>210</v>
      </c>
      <c r="E59" s="41" t="s">
        <v>195</v>
      </c>
      <c r="F59" s="41">
        <v>2.5</v>
      </c>
      <c r="G59" s="41">
        <v>0</v>
      </c>
      <c r="H59" s="41">
        <v>10</v>
      </c>
      <c r="I59" s="41">
        <v>45</v>
      </c>
      <c r="J59" s="41">
        <v>5000</v>
      </c>
      <c r="K59" s="41" t="s">
        <v>113</v>
      </c>
      <c r="L59" s="37" t="s">
        <v>193</v>
      </c>
      <c r="M59" s="25"/>
      <c r="N59" s="14"/>
    </row>
    <row r="60" spans="1:14">
      <c r="A60" s="23" t="s">
        <v>427</v>
      </c>
      <c r="B60" s="76">
        <v>760</v>
      </c>
      <c r="C60" s="77">
        <v>45468</v>
      </c>
      <c r="D60" s="41" t="s">
        <v>210</v>
      </c>
      <c r="E60" s="41" t="s">
        <v>195</v>
      </c>
      <c r="F60" s="41">
        <v>2.5</v>
      </c>
      <c r="G60" s="41">
        <v>0</v>
      </c>
      <c r="H60" s="41">
        <v>12</v>
      </c>
      <c r="I60" s="41">
        <v>45</v>
      </c>
      <c r="J60" s="41">
        <v>5000</v>
      </c>
      <c r="K60" s="41" t="s">
        <v>113</v>
      </c>
      <c r="L60" s="37" t="s">
        <v>193</v>
      </c>
      <c r="M60" s="25"/>
      <c r="N60" s="14"/>
    </row>
    <row r="61" spans="1:14">
      <c r="A61" s="23" t="s">
        <v>428</v>
      </c>
      <c r="B61" s="76">
        <v>862.14</v>
      </c>
      <c r="C61" s="77">
        <v>45993</v>
      </c>
      <c r="D61" s="41" t="s">
        <v>210</v>
      </c>
      <c r="E61" s="41" t="s">
        <v>195</v>
      </c>
      <c r="F61" s="41">
        <v>2.5</v>
      </c>
      <c r="G61" s="41">
        <v>0</v>
      </c>
      <c r="H61" s="41">
        <v>16</v>
      </c>
      <c r="I61" s="41">
        <v>45</v>
      </c>
      <c r="J61" s="41">
        <v>5000</v>
      </c>
      <c r="K61" s="41" t="s">
        <v>113</v>
      </c>
      <c r="L61" s="37" t="s">
        <v>193</v>
      </c>
      <c r="M61" s="25"/>
      <c r="N61" s="14"/>
    </row>
    <row r="62" spans="1:14">
      <c r="A62" s="23" t="s">
        <v>429</v>
      </c>
      <c r="B62" s="76">
        <v>975</v>
      </c>
      <c r="C62" s="77">
        <v>45250</v>
      </c>
      <c r="D62" s="41" t="s">
        <v>210</v>
      </c>
      <c r="E62" s="41" t="s">
        <v>195</v>
      </c>
      <c r="F62" s="41">
        <v>5</v>
      </c>
      <c r="G62" s="41">
        <v>6</v>
      </c>
      <c r="H62" s="41">
        <v>10</v>
      </c>
      <c r="I62" s="41">
        <v>60</v>
      </c>
      <c r="J62" s="41">
        <v>6500</v>
      </c>
      <c r="K62" s="41" t="s">
        <v>113</v>
      </c>
      <c r="L62" s="37" t="s">
        <v>193</v>
      </c>
      <c r="M62" s="25"/>
      <c r="N62" s="14"/>
    </row>
    <row r="63" spans="1:14">
      <c r="A63" s="23" t="s">
        <v>123</v>
      </c>
      <c r="B63" s="76">
        <v>38.474200000000003</v>
      </c>
      <c r="C63" s="77">
        <v>45930</v>
      </c>
      <c r="D63" s="41" t="s">
        <v>109</v>
      </c>
      <c r="E63" s="41" t="s">
        <v>107</v>
      </c>
      <c r="F63" s="41">
        <v>15</v>
      </c>
      <c r="G63" s="41" t="s">
        <v>197</v>
      </c>
      <c r="H63" s="41" t="s">
        <v>197</v>
      </c>
      <c r="I63" s="41">
        <v>95</v>
      </c>
      <c r="J63" s="41">
        <v>200</v>
      </c>
      <c r="K63" s="41" t="s">
        <v>111</v>
      </c>
      <c r="L63" s="37" t="s">
        <v>193</v>
      </c>
      <c r="M63" s="25"/>
      <c r="N63" s="14"/>
    </row>
    <row r="64" spans="1:14">
      <c r="A64" s="38" t="s">
        <v>122</v>
      </c>
      <c r="B64" s="37">
        <v>55.2</v>
      </c>
      <c r="C64" s="75">
        <v>45930</v>
      </c>
      <c r="D64" s="37" t="s">
        <v>109</v>
      </c>
      <c r="E64" s="37" t="s">
        <v>107</v>
      </c>
      <c r="F64" s="37">
        <v>25</v>
      </c>
      <c r="G64" s="37" t="s">
        <v>197</v>
      </c>
      <c r="H64" s="37" t="s">
        <v>197</v>
      </c>
      <c r="I64" s="37">
        <v>125</v>
      </c>
      <c r="J64" s="37">
        <v>200</v>
      </c>
      <c r="K64" s="37" t="s">
        <v>111</v>
      </c>
      <c r="L64" s="37" t="s">
        <v>193</v>
      </c>
      <c r="M64" s="25"/>
      <c r="N64" s="14"/>
    </row>
    <row r="65" spans="1:14">
      <c r="A65" s="38" t="s">
        <v>110</v>
      </c>
      <c r="B65" s="37">
        <v>17.0778</v>
      </c>
      <c r="C65" s="75">
        <v>45930</v>
      </c>
      <c r="D65" s="37" t="s">
        <v>108</v>
      </c>
      <c r="E65" s="37" t="s">
        <v>107</v>
      </c>
      <c r="F65" s="37">
        <v>35</v>
      </c>
      <c r="G65" s="37" t="s">
        <v>197</v>
      </c>
      <c r="H65" s="37" t="s">
        <v>197</v>
      </c>
      <c r="I65" s="37">
        <v>150</v>
      </c>
      <c r="J65" s="37">
        <v>200</v>
      </c>
      <c r="K65" s="37" t="s">
        <v>111</v>
      </c>
      <c r="L65" s="37" t="s">
        <v>193</v>
      </c>
      <c r="M65" s="25"/>
      <c r="N65" s="14"/>
    </row>
    <row r="66" spans="1:14">
      <c r="A66" s="38" t="s">
        <v>112</v>
      </c>
      <c r="B66" s="37">
        <v>12.84</v>
      </c>
      <c r="C66" s="75">
        <v>46001</v>
      </c>
      <c r="D66" s="37" t="s">
        <v>108</v>
      </c>
      <c r="E66" s="37" t="s">
        <v>107</v>
      </c>
      <c r="F66" s="37">
        <v>35</v>
      </c>
      <c r="G66" s="37" t="s">
        <v>197</v>
      </c>
      <c r="H66" s="37" t="s">
        <v>197</v>
      </c>
      <c r="I66" s="37">
        <v>150</v>
      </c>
      <c r="J66" s="37">
        <v>200</v>
      </c>
      <c r="K66" s="37" t="s">
        <v>113</v>
      </c>
      <c r="L66" s="37" t="s">
        <v>193</v>
      </c>
      <c r="M66" s="25"/>
      <c r="N66" s="14"/>
    </row>
    <row r="67" spans="1:14">
      <c r="A67" s="38" t="s">
        <v>121</v>
      </c>
      <c r="B67" s="37">
        <v>199.39</v>
      </c>
      <c r="C67" s="75">
        <v>44722</v>
      </c>
      <c r="D67" s="37" t="s">
        <v>120</v>
      </c>
      <c r="E67" s="37" t="s">
        <v>107</v>
      </c>
      <c r="F67" s="37">
        <v>35</v>
      </c>
      <c r="G67" s="37" t="s">
        <v>197</v>
      </c>
      <c r="H67" s="37" t="s">
        <v>197</v>
      </c>
      <c r="I67" s="37">
        <v>150</v>
      </c>
      <c r="J67" s="37">
        <v>200</v>
      </c>
      <c r="K67" s="37" t="s">
        <v>111</v>
      </c>
      <c r="L67" s="37" t="s">
        <v>193</v>
      </c>
      <c r="M67" s="25"/>
      <c r="N67" s="14"/>
    </row>
    <row r="68" spans="1:14">
      <c r="A68" s="38">
        <v>390780</v>
      </c>
      <c r="B68" s="37">
        <v>0</v>
      </c>
      <c r="C68" s="75">
        <v>36526</v>
      </c>
      <c r="D68" s="37" t="s">
        <v>196</v>
      </c>
      <c r="E68" s="37" t="s">
        <v>195</v>
      </c>
      <c r="F68" s="37">
        <v>46</v>
      </c>
      <c r="G68" s="37">
        <v>0</v>
      </c>
      <c r="H68" s="37">
        <v>0</v>
      </c>
      <c r="I68" s="37">
        <v>250</v>
      </c>
      <c r="J68" s="37">
        <v>994</v>
      </c>
      <c r="K68" s="37" t="s">
        <v>430</v>
      </c>
      <c r="L68" s="37" t="s">
        <v>193</v>
      </c>
      <c r="M68" s="25"/>
      <c r="N68" s="14"/>
    </row>
    <row r="69" spans="1:14" s="12" customFormat="1">
      <c r="A69" s="38" t="s">
        <v>257</v>
      </c>
      <c r="B69" s="37">
        <v>224.56</v>
      </c>
      <c r="C69" s="75">
        <v>45736</v>
      </c>
      <c r="D69" s="37" t="s">
        <v>208</v>
      </c>
      <c r="E69" s="37" t="s">
        <v>195</v>
      </c>
      <c r="F69" s="37">
        <v>5</v>
      </c>
      <c r="G69" s="37" t="s">
        <v>197</v>
      </c>
      <c r="H69" s="37" t="s">
        <v>197</v>
      </c>
      <c r="I69" s="37">
        <v>75</v>
      </c>
      <c r="J69" s="37">
        <v>785</v>
      </c>
      <c r="K69" s="37" t="s">
        <v>211</v>
      </c>
      <c r="L69" s="37" t="s">
        <v>198</v>
      </c>
      <c r="M69" s="26"/>
      <c r="N69" s="15"/>
    </row>
    <row r="70" spans="1:14">
      <c r="A70" s="38" t="s">
        <v>431</v>
      </c>
      <c r="B70" s="37">
        <v>0</v>
      </c>
      <c r="C70" s="75">
        <v>36526</v>
      </c>
      <c r="D70" s="37" t="s">
        <v>206</v>
      </c>
      <c r="E70" s="37" t="s">
        <v>195</v>
      </c>
      <c r="F70" s="37">
        <v>5</v>
      </c>
      <c r="G70" s="37" t="s">
        <v>197</v>
      </c>
      <c r="H70" s="37" t="s">
        <v>197</v>
      </c>
      <c r="I70" s="37">
        <v>75</v>
      </c>
      <c r="J70" s="37">
        <v>785</v>
      </c>
      <c r="K70" s="37" t="s">
        <v>211</v>
      </c>
      <c r="L70" s="37" t="s">
        <v>198</v>
      </c>
      <c r="M70" s="25"/>
      <c r="N70" s="14"/>
    </row>
    <row r="71" spans="1:14">
      <c r="A71" s="38" t="s">
        <v>258</v>
      </c>
      <c r="B71" s="37">
        <v>263</v>
      </c>
      <c r="C71" s="75">
        <v>45924</v>
      </c>
      <c r="D71" s="37" t="s">
        <v>208</v>
      </c>
      <c r="E71" s="37" t="s">
        <v>195</v>
      </c>
      <c r="F71" s="37">
        <v>5</v>
      </c>
      <c r="G71" s="37" t="s">
        <v>197</v>
      </c>
      <c r="H71" s="37" t="s">
        <v>197</v>
      </c>
      <c r="I71" s="37">
        <v>75</v>
      </c>
      <c r="J71" s="37">
        <v>994</v>
      </c>
      <c r="K71" s="37" t="s">
        <v>211</v>
      </c>
      <c r="L71" s="37" t="s">
        <v>198</v>
      </c>
      <c r="M71" s="25"/>
      <c r="N71" s="14"/>
    </row>
    <row r="72" spans="1:14">
      <c r="A72" s="38" t="s">
        <v>432</v>
      </c>
      <c r="B72" s="37">
        <v>0</v>
      </c>
      <c r="C72" s="75">
        <v>36526</v>
      </c>
      <c r="D72" s="37" t="s">
        <v>206</v>
      </c>
      <c r="E72" s="37" t="s">
        <v>195</v>
      </c>
      <c r="F72" s="37">
        <v>5</v>
      </c>
      <c r="G72" s="37" t="s">
        <v>197</v>
      </c>
      <c r="H72" s="37" t="s">
        <v>197</v>
      </c>
      <c r="I72" s="37">
        <v>75</v>
      </c>
      <c r="J72" s="37">
        <v>994</v>
      </c>
      <c r="K72" s="37" t="s">
        <v>211</v>
      </c>
      <c r="L72" s="37" t="s">
        <v>198</v>
      </c>
      <c r="M72" s="25"/>
      <c r="N72" s="14"/>
    </row>
    <row r="73" spans="1:14">
      <c r="A73" s="38" t="s">
        <v>259</v>
      </c>
      <c r="B73" s="37">
        <v>270</v>
      </c>
      <c r="C73" s="75">
        <v>45951</v>
      </c>
      <c r="D73" s="37" t="s">
        <v>208</v>
      </c>
      <c r="E73" s="37" t="s">
        <v>195</v>
      </c>
      <c r="F73" s="37">
        <v>5</v>
      </c>
      <c r="G73" s="37" t="s">
        <v>197</v>
      </c>
      <c r="H73" s="37" t="s">
        <v>197</v>
      </c>
      <c r="I73" s="37">
        <v>75</v>
      </c>
      <c r="J73" s="37">
        <v>1227</v>
      </c>
      <c r="K73" s="37" t="s">
        <v>211</v>
      </c>
      <c r="L73" s="37" t="s">
        <v>198</v>
      </c>
      <c r="M73" s="25"/>
      <c r="N73" s="14"/>
    </row>
    <row r="74" spans="1:14">
      <c r="A74" s="38" t="s">
        <v>433</v>
      </c>
      <c r="B74" s="37">
        <v>0</v>
      </c>
      <c r="C74" s="75">
        <v>36526</v>
      </c>
      <c r="D74" s="37" t="s">
        <v>206</v>
      </c>
      <c r="E74" s="37" t="s">
        <v>195</v>
      </c>
      <c r="F74" s="37">
        <v>5</v>
      </c>
      <c r="G74" s="37" t="s">
        <v>197</v>
      </c>
      <c r="H74" s="37" t="s">
        <v>197</v>
      </c>
      <c r="I74" s="37">
        <v>75</v>
      </c>
      <c r="J74" s="37">
        <v>1227</v>
      </c>
      <c r="K74" s="37" t="s">
        <v>211</v>
      </c>
      <c r="L74" s="37" t="s">
        <v>198</v>
      </c>
      <c r="M74" s="25"/>
      <c r="N74" s="14"/>
    </row>
    <row r="75" spans="1:14">
      <c r="A75" s="38" t="s">
        <v>434</v>
      </c>
      <c r="B75" s="37">
        <v>0</v>
      </c>
      <c r="C75" s="37">
        <v>65535</v>
      </c>
      <c r="D75" s="37" t="s">
        <v>208</v>
      </c>
      <c r="E75" s="37" t="s">
        <v>195</v>
      </c>
      <c r="F75" s="37">
        <v>5</v>
      </c>
      <c r="G75" s="37" t="s">
        <v>197</v>
      </c>
      <c r="H75" s="37" t="s">
        <v>197</v>
      </c>
      <c r="I75" s="37">
        <v>75</v>
      </c>
      <c r="J75" s="37">
        <v>1767</v>
      </c>
      <c r="K75" s="37" t="s">
        <v>211</v>
      </c>
      <c r="L75" s="37" t="s">
        <v>198</v>
      </c>
      <c r="M75" s="25"/>
      <c r="N75" s="14"/>
    </row>
    <row r="76" spans="1:14">
      <c r="A76" s="38" t="s">
        <v>435</v>
      </c>
      <c r="B76" s="37">
        <v>0</v>
      </c>
      <c r="C76" s="75">
        <v>36526</v>
      </c>
      <c r="D76" s="37" t="s">
        <v>206</v>
      </c>
      <c r="E76" s="37" t="s">
        <v>195</v>
      </c>
      <c r="F76" s="37">
        <v>5</v>
      </c>
      <c r="G76" s="37" t="s">
        <v>197</v>
      </c>
      <c r="H76" s="37" t="s">
        <v>197</v>
      </c>
      <c r="I76" s="37">
        <v>75</v>
      </c>
      <c r="J76" s="37">
        <v>1767</v>
      </c>
      <c r="K76" s="37" t="s">
        <v>211</v>
      </c>
      <c r="L76" s="37" t="s">
        <v>198</v>
      </c>
      <c r="M76" s="25"/>
      <c r="N76" s="14"/>
    </row>
    <row r="77" spans="1:14">
      <c r="A77" s="38" t="s">
        <v>436</v>
      </c>
      <c r="B77" s="37">
        <v>300.92</v>
      </c>
      <c r="C77" s="75">
        <v>45001</v>
      </c>
      <c r="D77" s="37" t="s">
        <v>208</v>
      </c>
      <c r="E77" s="37" t="s">
        <v>195</v>
      </c>
      <c r="F77" s="37">
        <v>5</v>
      </c>
      <c r="G77" s="37" t="s">
        <v>197</v>
      </c>
      <c r="H77" s="37" t="s">
        <v>197</v>
      </c>
      <c r="I77" s="37">
        <v>75</v>
      </c>
      <c r="J77" s="37">
        <v>2070</v>
      </c>
      <c r="K77" s="37" t="s">
        <v>211</v>
      </c>
      <c r="L77" s="37" t="s">
        <v>198</v>
      </c>
      <c r="M77" s="25"/>
      <c r="N77" s="14"/>
    </row>
    <row r="78" spans="1:14">
      <c r="A78" s="38" t="s">
        <v>437</v>
      </c>
      <c r="B78" s="37">
        <v>0</v>
      </c>
      <c r="C78" s="75">
        <v>36526</v>
      </c>
      <c r="D78" s="37" t="s">
        <v>206</v>
      </c>
      <c r="E78" s="37" t="s">
        <v>195</v>
      </c>
      <c r="F78" s="37">
        <v>5</v>
      </c>
      <c r="G78" s="37" t="s">
        <v>197</v>
      </c>
      <c r="H78" s="37" t="s">
        <v>197</v>
      </c>
      <c r="I78" s="37">
        <v>75</v>
      </c>
      <c r="J78" s="37">
        <v>2070</v>
      </c>
      <c r="K78" s="37" t="s">
        <v>211</v>
      </c>
      <c r="L78" s="37" t="s">
        <v>198</v>
      </c>
      <c r="M78" s="25"/>
      <c r="N78" s="14"/>
    </row>
    <row r="79" spans="1:14">
      <c r="A79" s="38" t="s">
        <v>438</v>
      </c>
      <c r="B79" s="37">
        <v>0</v>
      </c>
      <c r="C79" s="37">
        <v>65535</v>
      </c>
      <c r="D79" s="37" t="s">
        <v>208</v>
      </c>
      <c r="E79" s="37" t="s">
        <v>195</v>
      </c>
      <c r="F79" s="37">
        <v>5</v>
      </c>
      <c r="G79" s="37" t="s">
        <v>197</v>
      </c>
      <c r="H79" s="37" t="s">
        <v>197</v>
      </c>
      <c r="I79" s="37">
        <v>75</v>
      </c>
      <c r="J79" s="37">
        <v>2400</v>
      </c>
      <c r="K79" s="37" t="s">
        <v>211</v>
      </c>
      <c r="L79" s="37" t="s">
        <v>198</v>
      </c>
      <c r="M79" s="25"/>
      <c r="N79" s="14"/>
    </row>
    <row r="80" spans="1:14">
      <c r="A80" s="38" t="s">
        <v>439</v>
      </c>
      <c r="B80" s="37">
        <v>0</v>
      </c>
      <c r="C80" s="75">
        <v>36526</v>
      </c>
      <c r="D80" s="37" t="s">
        <v>206</v>
      </c>
      <c r="E80" s="37" t="s">
        <v>195</v>
      </c>
      <c r="F80" s="37">
        <v>5</v>
      </c>
      <c r="G80" s="37" t="s">
        <v>197</v>
      </c>
      <c r="H80" s="37" t="s">
        <v>197</v>
      </c>
      <c r="I80" s="37">
        <v>75</v>
      </c>
      <c r="J80" s="37">
        <v>2400</v>
      </c>
      <c r="K80" s="37" t="s">
        <v>211</v>
      </c>
      <c r="L80" s="37" t="s">
        <v>198</v>
      </c>
      <c r="M80" s="25"/>
      <c r="N80" s="14"/>
    </row>
    <row r="81" spans="1:14">
      <c r="A81" s="38" t="s">
        <v>440</v>
      </c>
      <c r="B81" s="37">
        <v>0</v>
      </c>
      <c r="C81" s="37">
        <v>65535</v>
      </c>
      <c r="D81" s="37" t="s">
        <v>208</v>
      </c>
      <c r="E81" s="37" t="s">
        <v>195</v>
      </c>
      <c r="F81" s="37">
        <v>5</v>
      </c>
      <c r="G81" s="37" t="s">
        <v>197</v>
      </c>
      <c r="H81" s="37" t="s">
        <v>197</v>
      </c>
      <c r="I81" s="37">
        <v>75</v>
      </c>
      <c r="J81" s="37">
        <v>3140</v>
      </c>
      <c r="K81" s="37" t="s">
        <v>211</v>
      </c>
      <c r="L81" s="37" t="s">
        <v>198</v>
      </c>
      <c r="M81" s="25"/>
      <c r="N81" s="14"/>
    </row>
    <row r="82" spans="1:14">
      <c r="A82" s="38" t="s">
        <v>441</v>
      </c>
      <c r="B82" s="37">
        <v>0</v>
      </c>
      <c r="C82" s="75">
        <v>36526</v>
      </c>
      <c r="D82" s="37" t="s">
        <v>206</v>
      </c>
      <c r="E82" s="37" t="s">
        <v>195</v>
      </c>
      <c r="F82" s="37">
        <v>5</v>
      </c>
      <c r="G82" s="37" t="s">
        <v>197</v>
      </c>
      <c r="H82" s="37" t="s">
        <v>197</v>
      </c>
      <c r="I82" s="37">
        <v>75</v>
      </c>
      <c r="J82" s="37">
        <v>3140</v>
      </c>
      <c r="K82" s="37" t="s">
        <v>211</v>
      </c>
      <c r="L82" s="37" t="s">
        <v>198</v>
      </c>
      <c r="M82" s="25"/>
      <c r="N82" s="14"/>
    </row>
    <row r="83" spans="1:14">
      <c r="A83" s="38" t="s">
        <v>442</v>
      </c>
      <c r="B83" s="37">
        <v>0</v>
      </c>
      <c r="C83" s="37">
        <v>65535</v>
      </c>
      <c r="D83" s="37" t="s">
        <v>208</v>
      </c>
      <c r="E83" s="37" t="s">
        <v>195</v>
      </c>
      <c r="F83" s="37">
        <v>5</v>
      </c>
      <c r="G83" s="37" t="s">
        <v>197</v>
      </c>
      <c r="H83" s="37" t="s">
        <v>197</v>
      </c>
      <c r="I83" s="37">
        <v>75</v>
      </c>
      <c r="J83" s="37">
        <v>3540</v>
      </c>
      <c r="K83" s="37" t="s">
        <v>211</v>
      </c>
      <c r="L83" s="37" t="s">
        <v>198</v>
      </c>
      <c r="M83" s="25"/>
      <c r="N83" s="14"/>
    </row>
    <row r="84" spans="1:14">
      <c r="A84" s="38" t="s">
        <v>443</v>
      </c>
      <c r="B84" s="37">
        <v>0</v>
      </c>
      <c r="C84" s="75">
        <v>36526</v>
      </c>
      <c r="D84" s="37" t="s">
        <v>206</v>
      </c>
      <c r="E84" s="37" t="s">
        <v>195</v>
      </c>
      <c r="F84" s="37">
        <v>5</v>
      </c>
      <c r="G84" s="37" t="s">
        <v>197</v>
      </c>
      <c r="H84" s="37" t="s">
        <v>197</v>
      </c>
      <c r="I84" s="37">
        <v>75</v>
      </c>
      <c r="J84" s="37">
        <v>3540</v>
      </c>
      <c r="K84" s="37" t="s">
        <v>211</v>
      </c>
      <c r="L84" s="37" t="s">
        <v>198</v>
      </c>
      <c r="M84" s="25"/>
      <c r="N84" s="14"/>
    </row>
    <row r="85" spans="1:14">
      <c r="A85" s="38" t="s">
        <v>444</v>
      </c>
      <c r="B85" s="37">
        <v>897.6</v>
      </c>
      <c r="C85" s="75">
        <v>45840</v>
      </c>
      <c r="D85" s="37" t="s">
        <v>196</v>
      </c>
      <c r="E85" s="37" t="s">
        <v>195</v>
      </c>
      <c r="F85" s="37">
        <v>46</v>
      </c>
      <c r="G85" s="37">
        <v>0</v>
      </c>
      <c r="H85" s="37">
        <v>4</v>
      </c>
      <c r="I85" s="37">
        <v>250</v>
      </c>
      <c r="J85" s="37">
        <v>306</v>
      </c>
      <c r="K85" s="37" t="s">
        <v>211</v>
      </c>
      <c r="L85" s="37" t="s">
        <v>198</v>
      </c>
      <c r="M85" s="25"/>
      <c r="N85" s="14"/>
    </row>
    <row r="86" spans="1:14">
      <c r="A86" s="3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729E-2C9B-495E-9A10-A8D17CC7ADEF}">
  <sheetPr codeName="Sheet4"/>
  <dimension ref="A1:J14"/>
  <sheetViews>
    <sheetView zoomScaleNormal="100" workbookViewId="0">
      <selection activeCell="E5" sqref="E5"/>
    </sheetView>
  </sheetViews>
  <sheetFormatPr defaultColWidth="0" defaultRowHeight="15"/>
  <cols>
    <col min="1" max="1" width="16.7109375" style="41" customWidth="1"/>
    <col min="2" max="2" width="19" style="41" customWidth="1"/>
    <col min="3" max="3" width="24.28515625" style="41" customWidth="1"/>
    <col min="4" max="4" width="18.140625" style="41" customWidth="1"/>
    <col min="5" max="5" width="20.42578125" style="41" customWidth="1"/>
    <col min="6" max="6" width="24.42578125" style="41" customWidth="1"/>
    <col min="7" max="7" width="13" style="41" bestFit="1" customWidth="1"/>
    <col min="8" max="8" width="17.85546875" style="41" customWidth="1"/>
    <col min="9" max="10" width="0" style="9" hidden="1" customWidth="1"/>
    <col min="11" max="16384" width="8.7109375" style="9" hidden="1"/>
  </cols>
  <sheetData>
    <row r="1" spans="1:8" ht="34.5" customHeight="1">
      <c r="A1" s="17" t="s">
        <v>22</v>
      </c>
      <c r="B1" s="17" t="s">
        <v>218</v>
      </c>
      <c r="C1" s="17" t="s">
        <v>221</v>
      </c>
      <c r="D1" s="17" t="s">
        <v>188</v>
      </c>
      <c r="E1" s="17" t="s">
        <v>4</v>
      </c>
      <c r="F1" s="17" t="s">
        <v>187</v>
      </c>
      <c r="G1" s="17" t="s">
        <v>117</v>
      </c>
      <c r="H1" s="29" t="s">
        <v>261</v>
      </c>
    </row>
    <row r="2" spans="1:8">
      <c r="A2" s="39" t="s">
        <v>262</v>
      </c>
      <c r="B2" s="40">
        <v>21.75</v>
      </c>
      <c r="C2" s="44">
        <v>45999</v>
      </c>
      <c r="D2" s="41" t="s">
        <v>283</v>
      </c>
      <c r="E2" s="41" t="s">
        <v>284</v>
      </c>
      <c r="F2" s="41">
        <v>7</v>
      </c>
      <c r="G2" s="41" t="s">
        <v>281</v>
      </c>
      <c r="H2" s="42" t="s">
        <v>282</v>
      </c>
    </row>
    <row r="3" spans="1:8">
      <c r="A3" s="39" t="s">
        <v>263</v>
      </c>
      <c r="B3" s="40">
        <v>31.334299999999999</v>
      </c>
      <c r="C3" s="44">
        <v>45565</v>
      </c>
      <c r="D3" s="41" t="s">
        <v>283</v>
      </c>
      <c r="E3" s="41" t="s">
        <v>284</v>
      </c>
      <c r="F3" s="41">
        <v>7</v>
      </c>
      <c r="G3" s="41" t="s">
        <v>281</v>
      </c>
      <c r="H3" s="42" t="s">
        <v>282</v>
      </c>
    </row>
    <row r="4" spans="1:8">
      <c r="A4" s="39" t="s">
        <v>278</v>
      </c>
      <c r="B4" s="40">
        <v>0</v>
      </c>
      <c r="C4" s="44">
        <v>36526</v>
      </c>
      <c r="D4" s="41" t="s">
        <v>283</v>
      </c>
      <c r="E4" s="41" t="s">
        <v>285</v>
      </c>
      <c r="F4" s="41">
        <v>4</v>
      </c>
      <c r="G4" s="41" t="s">
        <v>281</v>
      </c>
      <c r="H4" s="42" t="s">
        <v>274</v>
      </c>
    </row>
    <row r="5" spans="1:8">
      <c r="A5" s="39" t="s">
        <v>279</v>
      </c>
      <c r="B5" s="40">
        <v>142.15</v>
      </c>
      <c r="C5" s="44">
        <v>45155</v>
      </c>
      <c r="D5" s="41" t="s">
        <v>283</v>
      </c>
      <c r="E5" s="41" t="s">
        <v>285</v>
      </c>
      <c r="F5" s="41">
        <v>4</v>
      </c>
      <c r="G5" s="41" t="s">
        <v>281</v>
      </c>
      <c r="H5" s="42">
        <v>46065</v>
      </c>
    </row>
    <row r="6" spans="1:8">
      <c r="A6" s="39" t="s">
        <v>280</v>
      </c>
      <c r="B6" s="40">
        <v>181.95</v>
      </c>
      <c r="C6" s="44">
        <v>44495</v>
      </c>
      <c r="D6" s="41" t="s">
        <v>283</v>
      </c>
      <c r="E6" s="41" t="s">
        <v>285</v>
      </c>
      <c r="F6" s="41">
        <v>4</v>
      </c>
      <c r="G6" s="41" t="s">
        <v>281</v>
      </c>
      <c r="H6" s="42" t="s">
        <v>277</v>
      </c>
    </row>
    <row r="7" spans="1:8">
      <c r="A7" s="39" t="s">
        <v>264</v>
      </c>
      <c r="B7" s="40">
        <v>76.040000000000006</v>
      </c>
      <c r="C7" s="44">
        <v>45930</v>
      </c>
      <c r="D7" s="41" t="s">
        <v>283</v>
      </c>
      <c r="E7" s="41" t="s">
        <v>285</v>
      </c>
      <c r="F7" s="41">
        <v>4</v>
      </c>
      <c r="G7" s="41" t="s">
        <v>281</v>
      </c>
      <c r="H7" s="42">
        <v>46036</v>
      </c>
    </row>
    <row r="8" spans="1:8">
      <c r="A8" s="39" t="s">
        <v>265</v>
      </c>
      <c r="B8" s="40">
        <v>68.75</v>
      </c>
      <c r="C8" s="44">
        <v>45999</v>
      </c>
      <c r="D8" s="41" t="s">
        <v>283</v>
      </c>
      <c r="E8" s="41" t="s">
        <v>285</v>
      </c>
      <c r="F8" s="41">
        <v>4</v>
      </c>
      <c r="G8" s="41" t="s">
        <v>281</v>
      </c>
      <c r="H8" s="42" t="s">
        <v>266</v>
      </c>
    </row>
    <row r="9" spans="1:8">
      <c r="A9" s="39" t="s">
        <v>267</v>
      </c>
      <c r="B9" s="40">
        <v>89.3</v>
      </c>
      <c r="C9" s="44">
        <v>45716</v>
      </c>
      <c r="D9" s="41" t="s">
        <v>283</v>
      </c>
      <c r="E9" s="41" t="s">
        <v>285</v>
      </c>
      <c r="F9" s="41">
        <v>4</v>
      </c>
      <c r="G9" s="41" t="s">
        <v>281</v>
      </c>
      <c r="H9" s="42" t="s">
        <v>268</v>
      </c>
    </row>
    <row r="10" spans="1:8">
      <c r="A10" s="39" t="s">
        <v>269</v>
      </c>
      <c r="B10" s="40">
        <v>94.7</v>
      </c>
      <c r="C10" s="44">
        <v>45999</v>
      </c>
      <c r="D10" s="41" t="s">
        <v>283</v>
      </c>
      <c r="E10" s="41" t="s">
        <v>285</v>
      </c>
      <c r="F10" s="41">
        <v>4</v>
      </c>
      <c r="G10" s="41" t="s">
        <v>281</v>
      </c>
      <c r="H10" s="42" t="s">
        <v>270</v>
      </c>
    </row>
    <row r="11" spans="1:8">
      <c r="A11" s="39" t="s">
        <v>273</v>
      </c>
      <c r="B11" s="40">
        <v>94.7</v>
      </c>
      <c r="C11" s="44">
        <v>45777</v>
      </c>
      <c r="D11" s="41" t="s">
        <v>283</v>
      </c>
      <c r="E11" s="41" t="s">
        <v>285</v>
      </c>
      <c r="F11" s="41">
        <v>4</v>
      </c>
      <c r="G11" s="41" t="s">
        <v>281</v>
      </c>
      <c r="H11" s="42" t="s">
        <v>274</v>
      </c>
    </row>
    <row r="12" spans="1:8">
      <c r="A12" s="39" t="s">
        <v>275</v>
      </c>
      <c r="B12" s="40">
        <v>94.7</v>
      </c>
      <c r="C12" s="44">
        <v>45999</v>
      </c>
      <c r="D12" s="41" t="s">
        <v>283</v>
      </c>
      <c r="E12" s="41" t="s">
        <v>285</v>
      </c>
      <c r="F12" s="41">
        <v>4</v>
      </c>
      <c r="G12" s="41" t="s">
        <v>281</v>
      </c>
      <c r="H12" s="42">
        <v>46065</v>
      </c>
    </row>
    <row r="13" spans="1:8">
      <c r="A13" s="39" t="s">
        <v>276</v>
      </c>
      <c r="B13" s="40">
        <v>69.75</v>
      </c>
      <c r="C13" s="44">
        <v>44574</v>
      </c>
      <c r="D13" s="41" t="s">
        <v>283</v>
      </c>
      <c r="E13" s="41" t="s">
        <v>285</v>
      </c>
      <c r="F13" s="41">
        <v>4</v>
      </c>
      <c r="G13" s="41" t="s">
        <v>281</v>
      </c>
      <c r="H13" s="42" t="s">
        <v>277</v>
      </c>
    </row>
    <row r="14" spans="1:8">
      <c r="A14" s="39" t="s">
        <v>271</v>
      </c>
      <c r="B14" s="40">
        <v>76.2</v>
      </c>
      <c r="C14" s="44">
        <v>45107</v>
      </c>
      <c r="D14" s="41" t="s">
        <v>283</v>
      </c>
      <c r="E14" s="41" t="s">
        <v>285</v>
      </c>
      <c r="F14" s="41">
        <v>4</v>
      </c>
      <c r="G14" s="41" t="s">
        <v>281</v>
      </c>
      <c r="H14" s="42" t="s">
        <v>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9F85-976D-4ACD-BE2A-4D766EF7E9FF}">
  <sheetPr codeName="Sheet5"/>
  <dimension ref="A1:Q28"/>
  <sheetViews>
    <sheetView zoomScaleNormal="100" workbookViewId="0">
      <selection activeCell="D6" sqref="D6"/>
    </sheetView>
  </sheetViews>
  <sheetFormatPr defaultColWidth="0" defaultRowHeight="15"/>
  <cols>
    <col min="1" max="1" width="22.85546875" style="39" customWidth="1"/>
    <col min="2" max="2" width="14.7109375" style="41" customWidth="1"/>
    <col min="3" max="3" width="15.5703125" style="41" customWidth="1"/>
    <col min="4" max="4" width="28" style="41" customWidth="1"/>
    <col min="5" max="5" width="22.42578125" style="41" customWidth="1"/>
    <col min="6" max="6" width="11.28515625" style="41" customWidth="1"/>
    <col min="7" max="7" width="13.28515625" style="41" customWidth="1"/>
    <col min="8" max="9" width="12.7109375" style="41" customWidth="1"/>
    <col min="10" max="10" width="9.7109375" style="41" customWidth="1"/>
    <col min="11" max="11" width="9" style="9" hidden="1" customWidth="1"/>
    <col min="12" max="12" width="13.140625" style="9" hidden="1" customWidth="1"/>
    <col min="13" max="13" width="12.140625" style="9" hidden="1" customWidth="1"/>
    <col min="14" max="14" width="53.42578125" style="9" hidden="1" customWidth="1"/>
    <col min="15" max="17" width="0" style="9" hidden="1" customWidth="1"/>
    <col min="18" max="16384" width="15" style="9" hidden="1"/>
  </cols>
  <sheetData>
    <row r="1" spans="1:16" ht="22.5" customHeight="1">
      <c r="A1" s="28" t="s">
        <v>22</v>
      </c>
      <c r="B1" s="17" t="s">
        <v>218</v>
      </c>
      <c r="C1" s="17" t="s">
        <v>221</v>
      </c>
      <c r="D1" s="17" t="s">
        <v>188</v>
      </c>
      <c r="E1" s="17" t="s">
        <v>4</v>
      </c>
      <c r="F1" s="17" t="s">
        <v>116</v>
      </c>
      <c r="G1" s="17" t="s">
        <v>115</v>
      </c>
      <c r="H1" s="17" t="s">
        <v>114</v>
      </c>
      <c r="I1" s="17" t="s">
        <v>117</v>
      </c>
      <c r="J1" s="29" t="s">
        <v>199</v>
      </c>
    </row>
    <row r="2" spans="1:16">
      <c r="A2" s="32" t="s">
        <v>225</v>
      </c>
      <c r="B2" s="40">
        <v>11.05</v>
      </c>
      <c r="C2" s="44">
        <v>45986</v>
      </c>
      <c r="D2" s="33" t="s">
        <v>226</v>
      </c>
      <c r="E2" s="33" t="s">
        <v>227</v>
      </c>
      <c r="F2" s="33">
        <v>35</v>
      </c>
      <c r="G2" s="33">
        <v>150</v>
      </c>
      <c r="H2" s="33" t="s">
        <v>197</v>
      </c>
      <c r="I2" s="33" t="s">
        <v>111</v>
      </c>
      <c r="J2" s="33">
        <v>5</v>
      </c>
    </row>
    <row r="3" spans="1:16">
      <c r="A3" s="32" t="s">
        <v>119</v>
      </c>
      <c r="B3" s="43">
        <v>184.28</v>
      </c>
      <c r="C3" s="51">
        <v>45625</v>
      </c>
      <c r="D3" s="33" t="s">
        <v>200</v>
      </c>
      <c r="E3" s="33" t="s">
        <v>118</v>
      </c>
      <c r="F3" s="33">
        <v>38</v>
      </c>
      <c r="G3" s="33">
        <v>150</v>
      </c>
      <c r="H3" s="33">
        <v>300</v>
      </c>
      <c r="I3" s="33" t="s">
        <v>111</v>
      </c>
      <c r="J3" s="33">
        <v>2</v>
      </c>
      <c r="P3" s="16"/>
    </row>
    <row r="4" spans="1:16">
      <c r="A4" s="35" t="s">
        <v>191</v>
      </c>
      <c r="B4" s="40">
        <v>207.68</v>
      </c>
      <c r="C4" s="44">
        <v>45924</v>
      </c>
      <c r="D4" s="36" t="s">
        <v>189</v>
      </c>
      <c r="E4" s="33" t="s">
        <v>190</v>
      </c>
      <c r="F4" s="36">
        <v>46</v>
      </c>
      <c r="G4" s="36">
        <v>250</v>
      </c>
      <c r="H4" s="36">
        <v>306</v>
      </c>
      <c r="I4" s="36" t="s">
        <v>194</v>
      </c>
      <c r="J4" s="36">
        <v>5</v>
      </c>
      <c r="P4" s="16"/>
    </row>
    <row r="5" spans="1:16">
      <c r="A5" s="35" t="s">
        <v>222</v>
      </c>
      <c r="B5" s="40">
        <v>179.13</v>
      </c>
      <c r="C5" s="44">
        <v>45900</v>
      </c>
      <c r="D5" s="36" t="s">
        <v>189</v>
      </c>
      <c r="E5" s="33" t="s">
        <v>190</v>
      </c>
      <c r="F5" s="36">
        <v>35</v>
      </c>
      <c r="G5" s="36">
        <v>150</v>
      </c>
      <c r="H5" s="36">
        <v>300</v>
      </c>
      <c r="I5" s="36" t="s">
        <v>111</v>
      </c>
      <c r="J5" s="36">
        <v>5</v>
      </c>
    </row>
    <row r="6" spans="1:16">
      <c r="A6" s="35" t="s">
        <v>223</v>
      </c>
      <c r="B6" s="40">
        <v>0</v>
      </c>
      <c r="C6" s="44">
        <v>65535</v>
      </c>
      <c r="D6" s="36" t="s">
        <v>189</v>
      </c>
      <c r="E6" s="33" t="s">
        <v>190</v>
      </c>
      <c r="F6" s="36">
        <v>35</v>
      </c>
      <c r="G6" s="36">
        <v>150</v>
      </c>
      <c r="H6" s="36">
        <v>150</v>
      </c>
      <c r="I6" s="36" t="s">
        <v>111</v>
      </c>
      <c r="J6" s="36">
        <v>5</v>
      </c>
    </row>
    <row r="7" spans="1:16">
      <c r="A7" s="35" t="s">
        <v>224</v>
      </c>
      <c r="B7" s="40">
        <v>15.777200000000001</v>
      </c>
      <c r="C7" s="44">
        <v>45565</v>
      </c>
      <c r="D7" s="36" t="s">
        <v>189</v>
      </c>
      <c r="E7" s="36" t="s">
        <v>190</v>
      </c>
      <c r="F7" s="36">
        <v>35</v>
      </c>
      <c r="G7" s="36">
        <v>150</v>
      </c>
      <c r="H7" s="36">
        <v>100</v>
      </c>
      <c r="I7" s="36" t="s">
        <v>111</v>
      </c>
      <c r="J7" s="36">
        <v>5</v>
      </c>
    </row>
    <row r="13" spans="1:16">
      <c r="C13" s="45"/>
    </row>
    <row r="14" spans="1:16">
      <c r="C14" s="45"/>
    </row>
    <row r="15" spans="1:16">
      <c r="C15" s="45"/>
    </row>
    <row r="16" spans="1:16">
      <c r="C16" s="45"/>
      <c r="L16" s="13"/>
    </row>
    <row r="20" spans="1:9">
      <c r="C20" s="45"/>
    </row>
    <row r="21" spans="1:9">
      <c r="C21" s="45"/>
    </row>
    <row r="23" spans="1:9">
      <c r="C23" s="45"/>
    </row>
    <row r="27" spans="1:9">
      <c r="C27" s="45"/>
    </row>
    <row r="28" spans="1:9">
      <c r="A28" s="38"/>
      <c r="B28" s="37"/>
      <c r="C28" s="37"/>
      <c r="D28" s="37"/>
      <c r="E28" s="37"/>
      <c r="F28" s="37"/>
      <c r="G28" s="37"/>
      <c r="H28" s="37"/>
      <c r="I28" s="3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653E-E4B7-44E8-92FE-74BA887EEC12}">
  <sheetPr codeName="Sheet6"/>
  <dimension ref="A1:L76"/>
  <sheetViews>
    <sheetView topLeftCell="A5" zoomScale="70" zoomScaleNormal="70" workbookViewId="0">
      <selection activeCell="D28" sqref="D28"/>
    </sheetView>
  </sheetViews>
  <sheetFormatPr defaultColWidth="0" defaultRowHeight="15"/>
  <cols>
    <col min="1" max="1" width="18.5703125" style="39" customWidth="1"/>
    <col min="2" max="2" width="11.28515625" style="41" customWidth="1"/>
    <col min="3" max="3" width="17.140625" style="41" customWidth="1"/>
    <col min="4" max="4" width="25.7109375" style="41" customWidth="1"/>
    <col min="5" max="5" width="9.7109375" style="41" customWidth="1"/>
    <col min="6" max="6" width="20.28515625" style="41" customWidth="1"/>
    <col min="7" max="7" width="9.85546875" style="41" customWidth="1"/>
    <col min="8" max="8" width="10.85546875" style="41" customWidth="1"/>
    <col min="9" max="12" width="0" hidden="1" customWidth="1"/>
    <col min="13" max="16384" width="8.85546875" hidden="1"/>
  </cols>
  <sheetData>
    <row r="1" spans="1:8" ht="21.75" customHeight="1">
      <c r="A1" s="28" t="s">
        <v>22</v>
      </c>
      <c r="B1" s="17" t="s">
        <v>218</v>
      </c>
      <c r="C1" s="17" t="s">
        <v>221</v>
      </c>
      <c r="D1" s="17" t="s">
        <v>188</v>
      </c>
      <c r="E1" s="17" t="s">
        <v>4</v>
      </c>
      <c r="F1" s="17" t="s">
        <v>116</v>
      </c>
      <c r="G1" s="17" t="s">
        <v>114</v>
      </c>
      <c r="H1" s="17" t="s">
        <v>117</v>
      </c>
    </row>
    <row r="2" spans="1:8">
      <c r="A2" s="35" t="s">
        <v>156</v>
      </c>
      <c r="B2" s="40">
        <v>59.69</v>
      </c>
      <c r="C2" s="44">
        <v>45565</v>
      </c>
      <c r="D2" s="36" t="s">
        <v>216</v>
      </c>
      <c r="E2" s="36" t="s">
        <v>217</v>
      </c>
      <c r="F2" s="36">
        <v>8.3000000000000007</v>
      </c>
      <c r="G2" s="36">
        <v>30</v>
      </c>
      <c r="H2" s="36" t="s">
        <v>111</v>
      </c>
    </row>
    <row r="3" spans="1:8">
      <c r="A3" s="35" t="s">
        <v>157</v>
      </c>
      <c r="B3" s="40">
        <v>57.44</v>
      </c>
      <c r="C3" s="44">
        <v>45229</v>
      </c>
      <c r="D3" s="36" t="s">
        <v>216</v>
      </c>
      <c r="E3" s="36" t="s">
        <v>217</v>
      </c>
      <c r="F3" s="36">
        <v>8.3000000000000007</v>
      </c>
      <c r="G3" s="36">
        <v>40</v>
      </c>
      <c r="H3" s="36" t="s">
        <v>111</v>
      </c>
    </row>
    <row r="4" spans="1:8">
      <c r="A4" s="35" t="s">
        <v>158</v>
      </c>
      <c r="B4" s="40">
        <v>0</v>
      </c>
      <c r="C4" s="40">
        <v>65535</v>
      </c>
      <c r="D4" s="36" t="s">
        <v>216</v>
      </c>
      <c r="E4" s="36" t="s">
        <v>217</v>
      </c>
      <c r="F4" s="36">
        <v>8.3000000000000007</v>
      </c>
      <c r="G4" s="36">
        <v>50</v>
      </c>
      <c r="H4" s="36" t="s">
        <v>111</v>
      </c>
    </row>
    <row r="5" spans="1:8">
      <c r="A5" s="35" t="s">
        <v>159</v>
      </c>
      <c r="B5" s="40">
        <v>0</v>
      </c>
      <c r="C5" s="40">
        <v>65535</v>
      </c>
      <c r="D5" s="36" t="s">
        <v>216</v>
      </c>
      <c r="E5" s="36" t="s">
        <v>217</v>
      </c>
      <c r="F5" s="36">
        <v>8.3000000000000007</v>
      </c>
      <c r="G5" s="36">
        <v>65</v>
      </c>
      <c r="H5" s="36" t="s">
        <v>111</v>
      </c>
    </row>
    <row r="6" spans="1:8">
      <c r="A6" s="35" t="s">
        <v>160</v>
      </c>
      <c r="B6" s="40">
        <v>74.94</v>
      </c>
      <c r="C6" s="44">
        <v>45322</v>
      </c>
      <c r="D6" s="36" t="s">
        <v>216</v>
      </c>
      <c r="E6" s="36" t="s">
        <v>217</v>
      </c>
      <c r="F6" s="36">
        <v>8.3000000000000007</v>
      </c>
      <c r="G6" s="36">
        <v>80</v>
      </c>
      <c r="H6" s="36" t="s">
        <v>111</v>
      </c>
    </row>
    <row r="7" spans="1:8">
      <c r="A7" s="35" t="s">
        <v>161</v>
      </c>
      <c r="B7" s="40">
        <v>89.043999999999997</v>
      </c>
      <c r="C7" s="44">
        <v>45565</v>
      </c>
      <c r="D7" s="36" t="s">
        <v>216</v>
      </c>
      <c r="E7" s="36" t="s">
        <v>217</v>
      </c>
      <c r="F7" s="36">
        <v>8.3000000000000007</v>
      </c>
      <c r="G7" s="36">
        <v>100</v>
      </c>
      <c r="H7" s="36" t="s">
        <v>111</v>
      </c>
    </row>
    <row r="8" spans="1:8">
      <c r="A8" s="35" t="s">
        <v>162</v>
      </c>
      <c r="B8" s="40">
        <v>111.61</v>
      </c>
      <c r="C8" s="44">
        <v>45666</v>
      </c>
      <c r="D8" s="36" t="s">
        <v>216</v>
      </c>
      <c r="E8" s="36" t="s">
        <v>217</v>
      </c>
      <c r="F8" s="36">
        <v>8.3000000000000007</v>
      </c>
      <c r="G8" s="36">
        <v>125</v>
      </c>
      <c r="H8" s="36" t="s">
        <v>111</v>
      </c>
    </row>
    <row r="9" spans="1:8">
      <c r="A9" s="35" t="s">
        <v>163</v>
      </c>
      <c r="B9" s="40">
        <v>176.68</v>
      </c>
      <c r="C9" s="44">
        <v>45987</v>
      </c>
      <c r="D9" s="36" t="s">
        <v>216</v>
      </c>
      <c r="E9" s="36" t="s">
        <v>217</v>
      </c>
      <c r="F9" s="36">
        <v>8.3000000000000007</v>
      </c>
      <c r="G9" s="36">
        <v>150</v>
      </c>
      <c r="H9" s="36" t="s">
        <v>111</v>
      </c>
    </row>
    <row r="10" spans="1:8">
      <c r="A10" s="35" t="s">
        <v>164</v>
      </c>
      <c r="B10" s="40">
        <v>185.87</v>
      </c>
      <c r="C10" s="44">
        <v>45860</v>
      </c>
      <c r="D10" s="36" t="s">
        <v>216</v>
      </c>
      <c r="E10" s="36" t="s">
        <v>217</v>
      </c>
      <c r="F10" s="36">
        <v>8.3000000000000007</v>
      </c>
      <c r="G10" s="36">
        <v>165</v>
      </c>
      <c r="H10" s="36" t="s">
        <v>111</v>
      </c>
    </row>
    <row r="11" spans="1:8">
      <c r="A11" s="35" t="s">
        <v>445</v>
      </c>
      <c r="B11" s="40">
        <v>183.98750000000001</v>
      </c>
      <c r="C11" s="44">
        <v>44042</v>
      </c>
      <c r="D11" s="36" t="s">
        <v>216</v>
      </c>
      <c r="E11" s="36" t="s">
        <v>217</v>
      </c>
      <c r="F11" s="36">
        <v>8.3000000000000007</v>
      </c>
      <c r="G11" s="36">
        <v>180</v>
      </c>
      <c r="H11" s="36" t="s">
        <v>111</v>
      </c>
    </row>
    <row r="12" spans="1:8">
      <c r="A12" s="35" t="s">
        <v>446</v>
      </c>
      <c r="B12" s="40">
        <v>149.68</v>
      </c>
      <c r="C12" s="44">
        <v>44865</v>
      </c>
      <c r="D12" s="36" t="s">
        <v>216</v>
      </c>
      <c r="E12" s="36" t="s">
        <v>217</v>
      </c>
      <c r="F12" s="36">
        <v>8.3000000000000007</v>
      </c>
      <c r="G12" s="36">
        <v>250</v>
      </c>
      <c r="H12" s="36" t="s">
        <v>111</v>
      </c>
    </row>
    <row r="13" spans="1:8">
      <c r="A13" s="35" t="s">
        <v>165</v>
      </c>
      <c r="B13" s="40">
        <v>62.93</v>
      </c>
      <c r="C13" s="44">
        <v>45986</v>
      </c>
      <c r="D13" s="36" t="s">
        <v>216</v>
      </c>
      <c r="E13" s="36" t="s">
        <v>217</v>
      </c>
      <c r="F13" s="36">
        <v>15.5</v>
      </c>
      <c r="G13" s="36">
        <v>30</v>
      </c>
      <c r="H13" s="36" t="s">
        <v>111</v>
      </c>
    </row>
    <row r="14" spans="1:8">
      <c r="A14" s="35" t="s">
        <v>166</v>
      </c>
      <c r="B14" s="40">
        <v>45.9</v>
      </c>
      <c r="C14" s="44">
        <v>44305</v>
      </c>
      <c r="D14" s="36" t="s">
        <v>216</v>
      </c>
      <c r="E14" s="36" t="s">
        <v>217</v>
      </c>
      <c r="F14" s="36">
        <v>15.5</v>
      </c>
      <c r="G14" s="36">
        <v>40</v>
      </c>
      <c r="H14" s="36" t="s">
        <v>111</v>
      </c>
    </row>
    <row r="15" spans="1:8">
      <c r="A15" s="35" t="s">
        <v>167</v>
      </c>
      <c r="B15" s="40">
        <v>75.16</v>
      </c>
      <c r="C15" s="44">
        <v>45987</v>
      </c>
      <c r="D15" s="36" t="s">
        <v>216</v>
      </c>
      <c r="E15" s="36" t="s">
        <v>217</v>
      </c>
      <c r="F15" s="36">
        <v>15.5</v>
      </c>
      <c r="G15" s="36">
        <v>50</v>
      </c>
      <c r="H15" s="36" t="s">
        <v>111</v>
      </c>
    </row>
    <row r="16" spans="1:8">
      <c r="A16" s="35" t="s">
        <v>168</v>
      </c>
      <c r="B16" s="40">
        <v>0</v>
      </c>
      <c r="C16" s="44">
        <v>65535</v>
      </c>
      <c r="D16" s="36" t="s">
        <v>216</v>
      </c>
      <c r="E16" s="36" t="s">
        <v>217</v>
      </c>
      <c r="F16" s="36">
        <v>15.5</v>
      </c>
      <c r="G16" s="36">
        <v>65</v>
      </c>
      <c r="H16" s="36" t="s">
        <v>111</v>
      </c>
    </row>
    <row r="17" spans="1:8">
      <c r="A17" s="35" t="s">
        <v>169</v>
      </c>
      <c r="B17" s="40">
        <v>96.18</v>
      </c>
      <c r="C17" s="44">
        <v>45986</v>
      </c>
      <c r="D17" s="36" t="s">
        <v>216</v>
      </c>
      <c r="E17" s="36" t="s">
        <v>217</v>
      </c>
      <c r="F17" s="36">
        <v>15.5</v>
      </c>
      <c r="G17" s="36">
        <v>80</v>
      </c>
      <c r="H17" s="36" t="s">
        <v>111</v>
      </c>
    </row>
    <row r="18" spans="1:8">
      <c r="A18" s="35" t="s">
        <v>170</v>
      </c>
      <c r="B18" s="40">
        <v>109.61</v>
      </c>
      <c r="C18" s="44">
        <v>45986</v>
      </c>
      <c r="D18" s="36" t="s">
        <v>216</v>
      </c>
      <c r="E18" s="36" t="s">
        <v>217</v>
      </c>
      <c r="F18" s="36">
        <v>15.5</v>
      </c>
      <c r="G18" s="36">
        <v>100</v>
      </c>
      <c r="H18" s="36" t="s">
        <v>111</v>
      </c>
    </row>
    <row r="19" spans="1:8">
      <c r="A19" s="35" t="s">
        <v>171</v>
      </c>
      <c r="B19" s="40">
        <v>130.26</v>
      </c>
      <c r="C19" s="44">
        <v>45986</v>
      </c>
      <c r="D19" s="36" t="s">
        <v>216</v>
      </c>
      <c r="E19" s="36" t="s">
        <v>217</v>
      </c>
      <c r="F19" s="36">
        <v>15.5</v>
      </c>
      <c r="G19" s="36">
        <v>125</v>
      </c>
      <c r="H19" s="36" t="s">
        <v>111</v>
      </c>
    </row>
    <row r="20" spans="1:8">
      <c r="A20" s="35" t="s">
        <v>172</v>
      </c>
      <c r="B20" s="40">
        <v>199.57</v>
      </c>
      <c r="C20" s="44">
        <v>46009</v>
      </c>
      <c r="D20" s="36" t="s">
        <v>216</v>
      </c>
      <c r="E20" s="36" t="s">
        <v>217</v>
      </c>
      <c r="F20" s="36">
        <v>15.5</v>
      </c>
      <c r="G20" s="36">
        <v>150</v>
      </c>
      <c r="H20" s="36" t="s">
        <v>111</v>
      </c>
    </row>
    <row r="21" spans="1:8">
      <c r="A21" s="35" t="s">
        <v>173</v>
      </c>
      <c r="B21" s="40">
        <v>208.76</v>
      </c>
      <c r="C21" s="44">
        <v>45987</v>
      </c>
      <c r="D21" s="36" t="s">
        <v>216</v>
      </c>
      <c r="E21" s="36" t="s">
        <v>217</v>
      </c>
      <c r="F21" s="36">
        <v>15.5</v>
      </c>
      <c r="G21" s="36">
        <v>165</v>
      </c>
      <c r="H21" s="36" t="s">
        <v>111</v>
      </c>
    </row>
    <row r="22" spans="1:8">
      <c r="A22" s="35" t="s">
        <v>447</v>
      </c>
      <c r="B22" s="40">
        <v>0</v>
      </c>
      <c r="C22" s="44">
        <v>65535</v>
      </c>
      <c r="D22" s="36" t="s">
        <v>216</v>
      </c>
      <c r="E22" s="36" t="s">
        <v>217</v>
      </c>
      <c r="F22" s="36">
        <v>15.5</v>
      </c>
      <c r="G22" s="36">
        <v>180</v>
      </c>
      <c r="H22" s="36" t="s">
        <v>111</v>
      </c>
    </row>
    <row r="23" spans="1:8">
      <c r="A23" s="35" t="s">
        <v>174</v>
      </c>
      <c r="B23" s="40">
        <v>50.12</v>
      </c>
      <c r="C23" s="44">
        <v>44264</v>
      </c>
      <c r="D23" s="36" t="s">
        <v>216</v>
      </c>
      <c r="E23" s="36" t="s">
        <v>217</v>
      </c>
      <c r="F23" s="36">
        <v>17.2</v>
      </c>
      <c r="G23" s="36">
        <v>40</v>
      </c>
      <c r="H23" s="36" t="s">
        <v>111</v>
      </c>
    </row>
    <row r="24" spans="1:8">
      <c r="A24" s="35" t="s">
        <v>175</v>
      </c>
      <c r="B24" s="40">
        <v>0</v>
      </c>
      <c r="C24" s="44">
        <v>65535</v>
      </c>
      <c r="D24" s="36" t="s">
        <v>216</v>
      </c>
      <c r="E24" s="36" t="s">
        <v>217</v>
      </c>
      <c r="F24" s="36">
        <v>17.2</v>
      </c>
      <c r="G24" s="36">
        <v>50</v>
      </c>
      <c r="H24" s="36" t="s">
        <v>111</v>
      </c>
    </row>
    <row r="25" spans="1:8">
      <c r="A25" s="35" t="s">
        <v>176</v>
      </c>
      <c r="B25" s="40">
        <v>70.17</v>
      </c>
      <c r="C25" s="44">
        <v>44181</v>
      </c>
      <c r="D25" s="36" t="s">
        <v>216</v>
      </c>
      <c r="E25" s="36" t="s">
        <v>217</v>
      </c>
      <c r="F25" s="36">
        <v>17.2</v>
      </c>
      <c r="G25" s="36">
        <v>65</v>
      </c>
      <c r="H25" s="36" t="s">
        <v>111</v>
      </c>
    </row>
    <row r="26" spans="1:8">
      <c r="A26" s="35" t="s">
        <v>177</v>
      </c>
      <c r="B26" s="40">
        <v>0</v>
      </c>
      <c r="C26" s="44">
        <v>65535</v>
      </c>
      <c r="D26" s="36" t="s">
        <v>216</v>
      </c>
      <c r="E26" s="36" t="s">
        <v>217</v>
      </c>
      <c r="F26" s="36">
        <v>23</v>
      </c>
      <c r="G26" s="36">
        <v>30</v>
      </c>
      <c r="H26" s="36" t="s">
        <v>111</v>
      </c>
    </row>
    <row r="27" spans="1:8">
      <c r="A27" s="35" t="s">
        <v>178</v>
      </c>
      <c r="B27" s="40">
        <v>0</v>
      </c>
      <c r="C27" s="44">
        <v>65535</v>
      </c>
      <c r="D27" s="36" t="s">
        <v>216</v>
      </c>
      <c r="E27" s="36" t="s">
        <v>217</v>
      </c>
      <c r="F27" s="36">
        <v>23</v>
      </c>
      <c r="G27" s="36">
        <v>40</v>
      </c>
      <c r="H27" s="36" t="s">
        <v>111</v>
      </c>
    </row>
    <row r="28" spans="1:8">
      <c r="A28" s="35" t="s">
        <v>179</v>
      </c>
      <c r="B28" s="40">
        <v>109.81</v>
      </c>
      <c r="C28" s="44">
        <v>45199</v>
      </c>
      <c r="D28" s="36" t="s">
        <v>216</v>
      </c>
      <c r="E28" s="36" t="s">
        <v>217</v>
      </c>
      <c r="F28" s="36">
        <v>23</v>
      </c>
      <c r="G28" s="36">
        <v>50</v>
      </c>
      <c r="H28" s="36" t="s">
        <v>111</v>
      </c>
    </row>
    <row r="29" spans="1:8">
      <c r="A29" s="35" t="s">
        <v>180</v>
      </c>
      <c r="B29" s="40">
        <v>0</v>
      </c>
      <c r="C29" s="44">
        <v>65535</v>
      </c>
      <c r="D29" s="36" t="s">
        <v>216</v>
      </c>
      <c r="E29" s="36" t="s">
        <v>217</v>
      </c>
      <c r="F29" s="36">
        <v>23</v>
      </c>
      <c r="G29" s="36">
        <v>65</v>
      </c>
      <c r="H29" s="36" t="s">
        <v>111</v>
      </c>
    </row>
    <row r="30" spans="1:8">
      <c r="A30" s="35" t="s">
        <v>181</v>
      </c>
      <c r="B30" s="40">
        <v>95.57</v>
      </c>
      <c r="C30" s="44">
        <v>44664</v>
      </c>
      <c r="D30" s="36" t="s">
        <v>216</v>
      </c>
      <c r="E30" s="36" t="s">
        <v>217</v>
      </c>
      <c r="F30" s="36">
        <v>23</v>
      </c>
      <c r="G30" s="36">
        <v>80</v>
      </c>
      <c r="H30" s="36" t="s">
        <v>111</v>
      </c>
    </row>
    <row r="31" spans="1:8">
      <c r="A31" s="35" t="s">
        <v>182</v>
      </c>
      <c r="B31" s="40">
        <v>0</v>
      </c>
      <c r="C31" s="44">
        <v>65535</v>
      </c>
      <c r="D31" s="36" t="s">
        <v>216</v>
      </c>
      <c r="E31" s="36" t="s">
        <v>217</v>
      </c>
      <c r="F31" s="36">
        <v>23</v>
      </c>
      <c r="G31" s="36">
        <v>100</v>
      </c>
      <c r="H31" s="36" t="s">
        <v>111</v>
      </c>
    </row>
    <row r="32" spans="1:8">
      <c r="A32" s="35" t="s">
        <v>183</v>
      </c>
      <c r="B32" s="40">
        <v>144.9383</v>
      </c>
      <c r="C32" s="44">
        <v>44042</v>
      </c>
      <c r="D32" s="36" t="s">
        <v>216</v>
      </c>
      <c r="E32" s="36" t="s">
        <v>217</v>
      </c>
      <c r="F32" s="36">
        <v>23</v>
      </c>
      <c r="G32" s="36">
        <v>125</v>
      </c>
      <c r="H32" s="36" t="s">
        <v>111</v>
      </c>
    </row>
    <row r="33" spans="1:8">
      <c r="A33" s="35" t="s">
        <v>184</v>
      </c>
      <c r="B33" s="40">
        <v>188.89</v>
      </c>
      <c r="C33" s="44">
        <v>45489</v>
      </c>
      <c r="D33" s="36" t="s">
        <v>216</v>
      </c>
      <c r="E33" s="36" t="s">
        <v>217</v>
      </c>
      <c r="F33" s="36">
        <v>23</v>
      </c>
      <c r="G33" s="36">
        <v>150</v>
      </c>
      <c r="H33" s="36" t="s">
        <v>111</v>
      </c>
    </row>
    <row r="34" spans="1:8">
      <c r="A34" s="35" t="s">
        <v>185</v>
      </c>
      <c r="B34" s="40">
        <v>247.32</v>
      </c>
      <c r="C34" s="44">
        <v>45784</v>
      </c>
      <c r="D34" s="36" t="s">
        <v>216</v>
      </c>
      <c r="E34" s="36" t="s">
        <v>217</v>
      </c>
      <c r="F34" s="36">
        <v>23</v>
      </c>
      <c r="G34" s="36">
        <v>165</v>
      </c>
      <c r="H34" s="36" t="s">
        <v>111</v>
      </c>
    </row>
    <row r="35" spans="1:8">
      <c r="A35" s="35" t="s">
        <v>448</v>
      </c>
      <c r="B35" s="40">
        <v>373.42</v>
      </c>
      <c r="C35" s="44">
        <v>44641</v>
      </c>
      <c r="D35" s="36" t="s">
        <v>216</v>
      </c>
      <c r="E35" s="36" t="s">
        <v>217</v>
      </c>
      <c r="F35" s="36">
        <v>35</v>
      </c>
      <c r="G35" s="36">
        <v>150</v>
      </c>
      <c r="H35" s="36" t="s">
        <v>111</v>
      </c>
    </row>
    <row r="36" spans="1:8">
      <c r="A36" s="35" t="s">
        <v>449</v>
      </c>
      <c r="B36" s="40">
        <v>338.53</v>
      </c>
      <c r="C36" s="44">
        <v>44518</v>
      </c>
      <c r="D36" s="36" t="s">
        <v>216</v>
      </c>
      <c r="E36" s="36" t="s">
        <v>217</v>
      </c>
      <c r="F36" s="36">
        <v>38</v>
      </c>
      <c r="G36" s="36">
        <v>50</v>
      </c>
      <c r="H36" s="36" t="s">
        <v>111</v>
      </c>
    </row>
    <row r="37" spans="1:8">
      <c r="A37" s="35" t="s">
        <v>450</v>
      </c>
      <c r="B37" s="40">
        <v>518.72</v>
      </c>
      <c r="C37" s="44">
        <v>45897</v>
      </c>
      <c r="D37" s="36" t="s">
        <v>216</v>
      </c>
      <c r="E37" s="36" t="s">
        <v>217</v>
      </c>
      <c r="F37" s="36">
        <v>38</v>
      </c>
      <c r="G37" s="36">
        <v>65</v>
      </c>
      <c r="H37" s="36" t="s">
        <v>111</v>
      </c>
    </row>
    <row r="38" spans="1:8">
      <c r="A38" s="35" t="s">
        <v>451</v>
      </c>
      <c r="B38" s="40">
        <v>554.20000000000005</v>
      </c>
      <c r="C38" s="44">
        <v>45792</v>
      </c>
      <c r="D38" s="36" t="s">
        <v>216</v>
      </c>
      <c r="E38" s="36" t="s">
        <v>217</v>
      </c>
      <c r="F38" s="36">
        <v>38</v>
      </c>
      <c r="G38" s="36">
        <v>80</v>
      </c>
      <c r="H38" s="36" t="s">
        <v>111</v>
      </c>
    </row>
    <row r="39" spans="1:8">
      <c r="A39" s="35" t="s">
        <v>452</v>
      </c>
      <c r="B39" s="40">
        <v>546.13</v>
      </c>
      <c r="C39" s="44">
        <v>45581</v>
      </c>
      <c r="D39" s="36" t="s">
        <v>216</v>
      </c>
      <c r="E39" s="36" t="s">
        <v>217</v>
      </c>
      <c r="F39" s="36">
        <v>38</v>
      </c>
      <c r="G39" s="36">
        <v>100</v>
      </c>
      <c r="H39" s="36" t="s">
        <v>111</v>
      </c>
    </row>
    <row r="40" spans="1:8">
      <c r="A40" s="35" t="s">
        <v>453</v>
      </c>
      <c r="B40" s="40">
        <v>436.7</v>
      </c>
      <c r="C40" s="44">
        <v>44887</v>
      </c>
      <c r="D40" s="36" t="s">
        <v>216</v>
      </c>
      <c r="E40" s="36" t="s">
        <v>217</v>
      </c>
      <c r="F40" s="36">
        <v>38</v>
      </c>
      <c r="G40" s="36">
        <v>120</v>
      </c>
      <c r="H40" s="36" t="s">
        <v>111</v>
      </c>
    </row>
    <row r="41" spans="1:8">
      <c r="A41" s="35" t="s">
        <v>454</v>
      </c>
      <c r="B41" s="40">
        <v>629.72</v>
      </c>
      <c r="C41" s="44">
        <v>45161</v>
      </c>
      <c r="D41" s="36" t="s">
        <v>216</v>
      </c>
      <c r="E41" s="36" t="s">
        <v>217</v>
      </c>
      <c r="F41" s="36">
        <v>38</v>
      </c>
      <c r="G41" s="36">
        <v>140</v>
      </c>
      <c r="H41" s="36" t="s">
        <v>111</v>
      </c>
    </row>
    <row r="42" spans="1:8">
      <c r="A42" s="35" t="s">
        <v>455</v>
      </c>
      <c r="B42" s="40">
        <v>0</v>
      </c>
      <c r="C42" s="40">
        <v>65535</v>
      </c>
      <c r="D42" s="36" t="s">
        <v>212</v>
      </c>
      <c r="E42" s="36" t="s">
        <v>213</v>
      </c>
      <c r="F42" s="36">
        <v>23</v>
      </c>
      <c r="G42" s="36">
        <v>6</v>
      </c>
      <c r="H42" s="36" t="s">
        <v>111</v>
      </c>
    </row>
    <row r="43" spans="1:8">
      <c r="A43" s="35" t="s">
        <v>456</v>
      </c>
      <c r="B43" s="40">
        <v>0</v>
      </c>
      <c r="C43" s="44">
        <v>65535</v>
      </c>
      <c r="D43" s="36" t="s">
        <v>212</v>
      </c>
      <c r="E43" s="36" t="s">
        <v>213</v>
      </c>
      <c r="F43" s="36">
        <v>23</v>
      </c>
      <c r="G43" s="36">
        <v>10</v>
      </c>
      <c r="H43" s="36" t="s">
        <v>111</v>
      </c>
    </row>
    <row r="44" spans="1:8">
      <c r="A44" s="35" t="s">
        <v>457</v>
      </c>
      <c r="B44" s="40">
        <v>0</v>
      </c>
      <c r="C44" s="44">
        <v>36526</v>
      </c>
      <c r="D44" s="36" t="s">
        <v>212</v>
      </c>
      <c r="E44" s="36" t="s">
        <v>213</v>
      </c>
      <c r="F44" s="36">
        <v>23</v>
      </c>
      <c r="G44" s="36">
        <v>15</v>
      </c>
      <c r="H44" s="36" t="s">
        <v>111</v>
      </c>
    </row>
    <row r="45" spans="1:8">
      <c r="A45" s="35" t="s">
        <v>458</v>
      </c>
      <c r="B45" s="40">
        <v>0</v>
      </c>
      <c r="C45" s="44">
        <v>65535</v>
      </c>
      <c r="D45" s="36" t="s">
        <v>212</v>
      </c>
      <c r="E45" s="36" t="s">
        <v>213</v>
      </c>
      <c r="F45" s="36">
        <v>23</v>
      </c>
      <c r="G45" s="36">
        <v>25</v>
      </c>
      <c r="H45" s="36" t="s">
        <v>111</v>
      </c>
    </row>
    <row r="46" spans="1:8">
      <c r="A46" s="35" t="s">
        <v>459</v>
      </c>
      <c r="B46" s="40">
        <v>0</v>
      </c>
      <c r="C46" s="44">
        <v>65535</v>
      </c>
      <c r="D46" s="36" t="s">
        <v>212</v>
      </c>
      <c r="E46" s="36" t="s">
        <v>213</v>
      </c>
      <c r="F46" s="36">
        <v>23</v>
      </c>
      <c r="G46" s="36">
        <v>40</v>
      </c>
      <c r="H46" s="36" t="s">
        <v>111</v>
      </c>
    </row>
    <row r="47" spans="1:8">
      <c r="A47" s="35" t="s">
        <v>138</v>
      </c>
      <c r="B47" s="40">
        <v>0</v>
      </c>
      <c r="C47" s="44">
        <v>65535</v>
      </c>
      <c r="D47" s="36" t="s">
        <v>212</v>
      </c>
      <c r="E47" s="36" t="s">
        <v>213</v>
      </c>
      <c r="F47" s="36">
        <v>23</v>
      </c>
      <c r="G47" s="36">
        <v>65</v>
      </c>
      <c r="H47" s="36" t="s">
        <v>111</v>
      </c>
    </row>
    <row r="48" spans="1:8">
      <c r="A48" s="35" t="s">
        <v>139</v>
      </c>
      <c r="B48" s="40">
        <v>0</v>
      </c>
      <c r="C48" s="44">
        <v>65535</v>
      </c>
      <c r="D48" s="36" t="s">
        <v>212</v>
      </c>
      <c r="E48" s="36" t="s">
        <v>213</v>
      </c>
      <c r="F48" s="36">
        <v>23</v>
      </c>
      <c r="G48" s="36">
        <v>100</v>
      </c>
      <c r="H48" s="36" t="s">
        <v>111</v>
      </c>
    </row>
    <row r="49" spans="1:8">
      <c r="A49" s="35" t="s">
        <v>140</v>
      </c>
      <c r="B49" s="40">
        <v>0</v>
      </c>
      <c r="C49" s="44">
        <v>65535</v>
      </c>
      <c r="D49" s="36" t="s">
        <v>212</v>
      </c>
      <c r="E49" s="36" t="s">
        <v>213</v>
      </c>
      <c r="F49" s="36">
        <v>23</v>
      </c>
      <c r="G49" s="36">
        <v>140</v>
      </c>
      <c r="H49" s="36" t="s">
        <v>111</v>
      </c>
    </row>
    <row r="50" spans="1:8">
      <c r="A50" s="39" t="s">
        <v>460</v>
      </c>
      <c r="B50" s="41">
        <v>13.08</v>
      </c>
      <c r="C50" s="45">
        <v>44390</v>
      </c>
      <c r="D50" s="41" t="s">
        <v>212</v>
      </c>
      <c r="E50" s="41" t="s">
        <v>215</v>
      </c>
      <c r="F50" s="41">
        <v>23</v>
      </c>
      <c r="G50" s="41">
        <v>5</v>
      </c>
      <c r="H50" s="41" t="s">
        <v>111</v>
      </c>
    </row>
    <row r="51" spans="1:8">
      <c r="A51" s="39" t="s">
        <v>150</v>
      </c>
      <c r="B51" s="41">
        <v>14.02</v>
      </c>
      <c r="C51" s="45">
        <v>44617</v>
      </c>
      <c r="D51" s="41" t="s">
        <v>212</v>
      </c>
      <c r="E51" s="41" t="s">
        <v>215</v>
      </c>
      <c r="F51" s="41">
        <v>23</v>
      </c>
      <c r="G51" s="41">
        <v>6</v>
      </c>
      <c r="H51" s="41" t="s">
        <v>111</v>
      </c>
    </row>
    <row r="52" spans="1:8">
      <c r="A52" s="39" t="s">
        <v>151</v>
      </c>
      <c r="B52" s="41">
        <v>17.542999999999999</v>
      </c>
      <c r="C52" s="45">
        <v>45565</v>
      </c>
      <c r="D52" s="41" t="s">
        <v>212</v>
      </c>
      <c r="E52" s="41" t="s">
        <v>215</v>
      </c>
      <c r="F52" s="41">
        <v>23</v>
      </c>
      <c r="G52" s="41">
        <v>8</v>
      </c>
      <c r="H52" s="41" t="s">
        <v>111</v>
      </c>
    </row>
    <row r="53" spans="1:8">
      <c r="A53" s="39" t="s">
        <v>152</v>
      </c>
      <c r="B53" s="41">
        <v>11.59</v>
      </c>
      <c r="C53" s="45">
        <v>44363</v>
      </c>
      <c r="D53" s="41" t="s">
        <v>212</v>
      </c>
      <c r="E53" s="41" t="s">
        <v>215</v>
      </c>
      <c r="F53" s="41">
        <v>23</v>
      </c>
      <c r="G53" s="41">
        <v>12</v>
      </c>
      <c r="H53" s="41" t="s">
        <v>111</v>
      </c>
    </row>
    <row r="54" spans="1:8">
      <c r="A54" s="39" t="s">
        <v>153</v>
      </c>
      <c r="B54" s="41">
        <v>17.84</v>
      </c>
      <c r="C54" s="45">
        <v>45666</v>
      </c>
      <c r="D54" s="41" t="s">
        <v>212</v>
      </c>
      <c r="E54" s="41" t="s">
        <v>215</v>
      </c>
      <c r="F54" s="41">
        <v>23</v>
      </c>
      <c r="G54" s="41">
        <v>15</v>
      </c>
      <c r="H54" s="41" t="s">
        <v>111</v>
      </c>
    </row>
    <row r="55" spans="1:8">
      <c r="A55" s="39" t="s">
        <v>154</v>
      </c>
      <c r="B55" s="41">
        <v>15.17</v>
      </c>
      <c r="C55" s="45">
        <v>45093</v>
      </c>
      <c r="D55" s="41" t="s">
        <v>212</v>
      </c>
      <c r="E55" s="41" t="s">
        <v>215</v>
      </c>
      <c r="F55" s="41">
        <v>15.5</v>
      </c>
      <c r="G55" s="41">
        <v>25</v>
      </c>
      <c r="H55" s="41" t="s">
        <v>111</v>
      </c>
    </row>
    <row r="56" spans="1:8">
      <c r="A56" s="39" t="s">
        <v>155</v>
      </c>
      <c r="B56" s="41">
        <v>19.579999999999998</v>
      </c>
      <c r="C56" s="45">
        <v>45287</v>
      </c>
      <c r="D56" s="41" t="s">
        <v>212</v>
      </c>
      <c r="E56" s="41" t="s">
        <v>215</v>
      </c>
      <c r="F56" s="41">
        <v>15.5</v>
      </c>
      <c r="G56" s="41">
        <v>40</v>
      </c>
      <c r="H56" s="41" t="s">
        <v>111</v>
      </c>
    </row>
    <row r="57" spans="1:8">
      <c r="A57" s="39" t="s">
        <v>141</v>
      </c>
      <c r="B57" s="41">
        <v>0</v>
      </c>
      <c r="C57" s="41">
        <v>65535</v>
      </c>
      <c r="D57" s="41" t="s">
        <v>212</v>
      </c>
      <c r="E57" s="41" t="s">
        <v>214</v>
      </c>
      <c r="F57" s="41">
        <v>23</v>
      </c>
      <c r="G57" s="41">
        <v>3</v>
      </c>
      <c r="H57" s="41" t="s">
        <v>111</v>
      </c>
    </row>
    <row r="58" spans="1:8">
      <c r="A58" s="39" t="s">
        <v>142</v>
      </c>
      <c r="B58" s="41">
        <v>0</v>
      </c>
      <c r="C58" s="41">
        <v>65535</v>
      </c>
      <c r="D58" s="41" t="s">
        <v>212</v>
      </c>
      <c r="E58" s="41" t="s">
        <v>214</v>
      </c>
      <c r="F58" s="41">
        <v>23</v>
      </c>
      <c r="G58" s="41">
        <v>8</v>
      </c>
      <c r="H58" s="41" t="s">
        <v>111</v>
      </c>
    </row>
    <row r="59" spans="1:8">
      <c r="A59" s="39" t="s">
        <v>143</v>
      </c>
      <c r="B59" s="41">
        <v>0</v>
      </c>
      <c r="C59" s="41">
        <v>65535</v>
      </c>
      <c r="D59" s="41" t="s">
        <v>212</v>
      </c>
      <c r="E59" s="41" t="s">
        <v>214</v>
      </c>
      <c r="F59" s="41">
        <v>23</v>
      </c>
      <c r="G59" s="41">
        <v>10</v>
      </c>
      <c r="H59" s="41" t="s">
        <v>111</v>
      </c>
    </row>
    <row r="60" spans="1:8">
      <c r="A60" s="39" t="s">
        <v>144</v>
      </c>
      <c r="B60" s="41">
        <v>0</v>
      </c>
      <c r="C60" s="41">
        <v>65535</v>
      </c>
      <c r="D60" s="41" t="s">
        <v>212</v>
      </c>
      <c r="E60" s="41" t="s">
        <v>214</v>
      </c>
      <c r="F60" s="41">
        <v>23</v>
      </c>
      <c r="G60" s="41">
        <v>15</v>
      </c>
      <c r="H60" s="41" t="s">
        <v>111</v>
      </c>
    </row>
    <row r="61" spans="1:8">
      <c r="A61" s="39" t="s">
        <v>145</v>
      </c>
      <c r="B61" s="41">
        <v>0</v>
      </c>
      <c r="C61" s="41">
        <v>65535</v>
      </c>
      <c r="D61" s="41" t="s">
        <v>212</v>
      </c>
      <c r="E61" s="41" t="s">
        <v>214</v>
      </c>
      <c r="F61" s="41">
        <v>23</v>
      </c>
      <c r="G61" s="41">
        <v>25</v>
      </c>
      <c r="H61" s="41" t="s">
        <v>111</v>
      </c>
    </row>
    <row r="62" spans="1:8">
      <c r="A62" s="39" t="s">
        <v>146</v>
      </c>
      <c r="B62" s="41">
        <v>0</v>
      </c>
      <c r="C62" s="41">
        <v>65535</v>
      </c>
      <c r="D62" s="41" t="s">
        <v>212</v>
      </c>
      <c r="E62" s="41" t="s">
        <v>214</v>
      </c>
      <c r="F62" s="41">
        <v>23</v>
      </c>
      <c r="G62" s="41">
        <v>50</v>
      </c>
      <c r="H62" s="41" t="s">
        <v>111</v>
      </c>
    </row>
    <row r="63" spans="1:8">
      <c r="A63" s="39" t="s">
        <v>147</v>
      </c>
      <c r="B63" s="41">
        <v>0</v>
      </c>
      <c r="C63" s="41">
        <v>65535</v>
      </c>
      <c r="D63" s="41" t="s">
        <v>212</v>
      </c>
      <c r="E63" s="41" t="s">
        <v>214</v>
      </c>
      <c r="F63" s="41">
        <v>23</v>
      </c>
      <c r="G63" s="41">
        <v>65</v>
      </c>
      <c r="H63" s="41" t="s">
        <v>111</v>
      </c>
    </row>
    <row r="64" spans="1:8">
      <c r="A64" s="39" t="s">
        <v>461</v>
      </c>
      <c r="B64" s="41">
        <v>31.63</v>
      </c>
      <c r="C64" s="45">
        <v>44881</v>
      </c>
      <c r="D64" s="41" t="s">
        <v>212</v>
      </c>
      <c r="E64" s="41" t="s">
        <v>214</v>
      </c>
      <c r="F64" s="41">
        <v>23</v>
      </c>
      <c r="G64" s="41">
        <v>100</v>
      </c>
      <c r="H64" s="41" t="s">
        <v>111</v>
      </c>
    </row>
    <row r="65" spans="1:8">
      <c r="A65" s="39" t="s">
        <v>462</v>
      </c>
      <c r="B65" s="41">
        <v>29.41</v>
      </c>
      <c r="C65" s="45">
        <v>44132</v>
      </c>
      <c r="D65" s="41" t="s">
        <v>212</v>
      </c>
      <c r="E65" s="41" t="s">
        <v>214</v>
      </c>
      <c r="F65" s="41">
        <v>23</v>
      </c>
      <c r="G65" s="41">
        <v>140</v>
      </c>
      <c r="H65" s="41" t="s">
        <v>111</v>
      </c>
    </row>
    <row r="66" spans="1:8">
      <c r="A66" s="39" t="s">
        <v>463</v>
      </c>
      <c r="B66" s="41">
        <v>124.86</v>
      </c>
      <c r="C66" s="45">
        <v>44454</v>
      </c>
      <c r="D66" s="41" t="s">
        <v>212</v>
      </c>
      <c r="E66" s="41" t="s">
        <v>214</v>
      </c>
      <c r="F66" s="41">
        <v>38</v>
      </c>
      <c r="G66" s="41">
        <v>10</v>
      </c>
      <c r="H66" s="41" t="s">
        <v>111</v>
      </c>
    </row>
    <row r="67" spans="1:8">
      <c r="A67" s="39" t="s">
        <v>464</v>
      </c>
      <c r="B67" s="41">
        <v>134.22</v>
      </c>
      <c r="C67" s="45">
        <v>44831</v>
      </c>
      <c r="D67" s="41" t="s">
        <v>212</v>
      </c>
      <c r="E67" s="41" t="s">
        <v>214</v>
      </c>
      <c r="F67" s="41">
        <v>38</v>
      </c>
      <c r="G67" s="41">
        <v>15</v>
      </c>
      <c r="H67" s="41" t="s">
        <v>111</v>
      </c>
    </row>
    <row r="68" spans="1:8">
      <c r="A68" s="39" t="s">
        <v>465</v>
      </c>
      <c r="B68" s="41">
        <v>185.82</v>
      </c>
      <c r="C68" s="45">
        <v>45826</v>
      </c>
      <c r="D68" s="41" t="s">
        <v>212</v>
      </c>
      <c r="E68" s="41" t="s">
        <v>214</v>
      </c>
      <c r="F68" s="41">
        <v>38</v>
      </c>
      <c r="G68" s="41">
        <v>25</v>
      </c>
      <c r="H68" s="41" t="s">
        <v>111</v>
      </c>
    </row>
    <row r="69" spans="1:8">
      <c r="A69" s="39" t="s">
        <v>466</v>
      </c>
      <c r="B69" s="41">
        <v>185.82</v>
      </c>
      <c r="C69" s="45">
        <v>45859</v>
      </c>
      <c r="D69" s="41" t="s">
        <v>212</v>
      </c>
      <c r="E69" s="41" t="s">
        <v>214</v>
      </c>
      <c r="F69" s="41">
        <v>38</v>
      </c>
      <c r="G69" s="41">
        <v>30</v>
      </c>
      <c r="H69" s="41" t="s">
        <v>111</v>
      </c>
    </row>
    <row r="70" spans="1:8">
      <c r="A70" s="39" t="s">
        <v>467</v>
      </c>
      <c r="B70" s="41">
        <v>154.84</v>
      </c>
      <c r="C70" s="45">
        <v>45125</v>
      </c>
      <c r="D70" s="41" t="s">
        <v>212</v>
      </c>
      <c r="E70" s="41" t="s">
        <v>214</v>
      </c>
      <c r="F70" s="41">
        <v>38</v>
      </c>
      <c r="G70" s="41">
        <v>40</v>
      </c>
      <c r="H70" s="41" t="s">
        <v>111</v>
      </c>
    </row>
    <row r="71" spans="1:8">
      <c r="A71" s="39" t="s">
        <v>468</v>
      </c>
      <c r="B71" s="41">
        <v>174.08330000000001</v>
      </c>
      <c r="C71" s="45">
        <v>45199</v>
      </c>
      <c r="D71" s="41" t="s">
        <v>212</v>
      </c>
      <c r="E71" s="41" t="s">
        <v>214</v>
      </c>
      <c r="F71" s="41">
        <v>38</v>
      </c>
      <c r="G71" s="41">
        <v>65</v>
      </c>
      <c r="H71" s="41" t="s">
        <v>111</v>
      </c>
    </row>
    <row r="72" spans="1:8">
      <c r="A72" s="39" t="s">
        <v>469</v>
      </c>
      <c r="B72" s="41">
        <v>128.76769999999999</v>
      </c>
      <c r="C72" s="45">
        <v>45199</v>
      </c>
      <c r="D72" s="41" t="s">
        <v>220</v>
      </c>
      <c r="E72" s="41" t="s">
        <v>470</v>
      </c>
      <c r="F72" s="41">
        <v>38</v>
      </c>
      <c r="G72" s="41" t="s">
        <v>197</v>
      </c>
      <c r="H72" s="41" t="s">
        <v>111</v>
      </c>
    </row>
    <row r="73" spans="1:8">
      <c r="A73" s="39" t="s">
        <v>148</v>
      </c>
      <c r="B73" s="41">
        <v>42.14</v>
      </c>
      <c r="C73" s="45">
        <v>44732</v>
      </c>
      <c r="D73" s="41" t="s">
        <v>220</v>
      </c>
      <c r="E73" s="41" t="s">
        <v>219</v>
      </c>
      <c r="F73" s="41">
        <v>23</v>
      </c>
      <c r="G73" s="41">
        <v>140</v>
      </c>
      <c r="H73" s="41" t="s">
        <v>111</v>
      </c>
    </row>
    <row r="74" spans="1:8">
      <c r="A74" s="39" t="s">
        <v>149</v>
      </c>
      <c r="B74" s="41">
        <v>38.47</v>
      </c>
      <c r="C74" s="45">
        <v>46009</v>
      </c>
      <c r="D74" s="41" t="s">
        <v>220</v>
      </c>
      <c r="E74" s="41" t="s">
        <v>219</v>
      </c>
      <c r="F74" s="41">
        <v>23</v>
      </c>
      <c r="G74" s="41">
        <v>50</v>
      </c>
      <c r="H74" s="41" t="s">
        <v>111</v>
      </c>
    </row>
    <row r="75" spans="1:8">
      <c r="A75" s="39" t="s">
        <v>471</v>
      </c>
      <c r="B75" s="41">
        <v>78.28</v>
      </c>
      <c r="C75" s="45">
        <v>44042</v>
      </c>
      <c r="D75" s="41" t="s">
        <v>212</v>
      </c>
      <c r="E75" s="41" t="s">
        <v>472</v>
      </c>
      <c r="F75" s="41">
        <v>15.5</v>
      </c>
      <c r="G75" s="41">
        <v>100</v>
      </c>
      <c r="H75" s="41" t="s">
        <v>111</v>
      </c>
    </row>
    <row r="76" spans="1:8">
      <c r="A76" s="39" t="s">
        <v>473</v>
      </c>
      <c r="B76" s="41">
        <v>63.97</v>
      </c>
      <c r="C76" s="45">
        <v>45076</v>
      </c>
      <c r="D76" s="41" t="s">
        <v>212</v>
      </c>
      <c r="E76" s="41" t="s">
        <v>472</v>
      </c>
      <c r="F76" s="41">
        <v>15.5</v>
      </c>
      <c r="G76" s="41">
        <v>125</v>
      </c>
      <c r="H76" s="41" t="s">
        <v>111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ACDA-3AF0-49A2-A0E8-B629B5B3957B}">
  <sheetPr codeName="Sheet7"/>
  <dimension ref="A1:U21"/>
  <sheetViews>
    <sheetView zoomScale="115" zoomScaleNormal="115" workbookViewId="0">
      <selection activeCell="D6" sqref="D6"/>
    </sheetView>
  </sheetViews>
  <sheetFormatPr defaultColWidth="0" defaultRowHeight="15"/>
  <cols>
    <col min="1" max="1" width="19" style="41" customWidth="1"/>
    <col min="2" max="2" width="14.7109375" style="41" customWidth="1"/>
    <col min="3" max="3" width="15.140625" style="41" customWidth="1"/>
    <col min="4" max="4" width="26.140625" style="41" customWidth="1"/>
    <col min="5" max="7" width="13.140625" style="41" customWidth="1"/>
    <col min="8" max="8" width="11.140625" style="9" hidden="1" customWidth="1"/>
    <col min="9" max="9" width="13" style="9" hidden="1" customWidth="1"/>
    <col min="10" max="10" width="11.140625" style="9" hidden="1" customWidth="1"/>
    <col min="11" max="17" width="8.7109375" style="9" hidden="1" customWidth="1"/>
    <col min="18" max="18" width="17.28515625" style="9" hidden="1" customWidth="1"/>
    <col min="19" max="21" width="5.140625" style="9" hidden="1" customWidth="1"/>
    <col min="22" max="16384" width="8.7109375" style="9" hidden="1"/>
  </cols>
  <sheetData>
    <row r="1" spans="1:7" ht="21.75" customHeight="1">
      <c r="A1" s="17" t="s">
        <v>22</v>
      </c>
      <c r="B1" s="17" t="s">
        <v>218</v>
      </c>
      <c r="C1" s="17" t="s">
        <v>221</v>
      </c>
      <c r="D1" s="29" t="s">
        <v>188</v>
      </c>
      <c r="E1" s="29" t="s">
        <v>474</v>
      </c>
      <c r="F1" s="29" t="s">
        <v>229</v>
      </c>
      <c r="G1" s="29" t="s">
        <v>230</v>
      </c>
    </row>
    <row r="2" spans="1:7">
      <c r="A2" s="36" t="s">
        <v>286</v>
      </c>
      <c r="B2" s="40">
        <v>0</v>
      </c>
      <c r="C2" s="44">
        <v>36526</v>
      </c>
      <c r="D2" s="36" t="s">
        <v>288</v>
      </c>
      <c r="E2" s="36" t="s">
        <v>289</v>
      </c>
      <c r="F2" s="36" t="s">
        <v>197</v>
      </c>
      <c r="G2" s="36"/>
    </row>
    <row r="3" spans="1:7">
      <c r="A3" s="36" t="s">
        <v>287</v>
      </c>
      <c r="B3" s="40">
        <v>0</v>
      </c>
      <c r="C3" s="44">
        <v>36526</v>
      </c>
      <c r="D3" s="36" t="s">
        <v>288</v>
      </c>
      <c r="E3" s="36" t="s">
        <v>289</v>
      </c>
      <c r="F3" s="36" t="s">
        <v>197</v>
      </c>
      <c r="G3" s="36"/>
    </row>
    <row r="4" spans="1:7">
      <c r="A4" s="36" t="s">
        <v>234</v>
      </c>
      <c r="B4" s="40">
        <v>33.72</v>
      </c>
      <c r="C4" s="44">
        <v>36526</v>
      </c>
      <c r="D4" s="36" t="s">
        <v>235</v>
      </c>
      <c r="E4" s="36" t="s">
        <v>233</v>
      </c>
      <c r="F4" s="36">
        <v>0</v>
      </c>
      <c r="G4" s="36">
        <v>2</v>
      </c>
    </row>
    <row r="5" spans="1:7">
      <c r="A5" s="36" t="s">
        <v>237</v>
      </c>
      <c r="B5" s="40">
        <v>0</v>
      </c>
      <c r="C5" s="44">
        <v>36526</v>
      </c>
      <c r="D5" s="36" t="s">
        <v>235</v>
      </c>
      <c r="E5" s="36" t="s">
        <v>233</v>
      </c>
      <c r="F5" s="36">
        <v>0</v>
      </c>
      <c r="G5" s="36"/>
    </row>
    <row r="6" spans="1:7">
      <c r="A6" s="36" t="s">
        <v>243</v>
      </c>
      <c r="B6" s="40">
        <v>125.72</v>
      </c>
      <c r="C6" s="44">
        <v>36526</v>
      </c>
      <c r="D6" s="36" t="s">
        <v>235</v>
      </c>
      <c r="E6" s="36" t="s">
        <v>233</v>
      </c>
      <c r="F6" s="36">
        <v>0</v>
      </c>
      <c r="G6" s="36">
        <v>3</v>
      </c>
    </row>
    <row r="7" spans="1:7">
      <c r="A7" s="36" t="s">
        <v>242</v>
      </c>
      <c r="B7" s="40">
        <v>45.48</v>
      </c>
      <c r="C7" s="44">
        <v>36526</v>
      </c>
      <c r="D7" s="36" t="s">
        <v>235</v>
      </c>
      <c r="E7" s="36" t="s">
        <v>236</v>
      </c>
      <c r="F7" s="36">
        <v>0</v>
      </c>
      <c r="G7" s="36">
        <v>3</v>
      </c>
    </row>
    <row r="8" spans="1:7">
      <c r="A8" s="36" t="s">
        <v>251</v>
      </c>
      <c r="B8" s="40">
        <v>615.82000000000005</v>
      </c>
      <c r="C8" s="44">
        <v>36526</v>
      </c>
      <c r="D8" s="36" t="s">
        <v>241</v>
      </c>
      <c r="E8" s="36" t="s">
        <v>233</v>
      </c>
      <c r="F8" s="36"/>
      <c r="G8" s="36"/>
    </row>
    <row r="9" spans="1:7">
      <c r="A9" s="36" t="s">
        <v>252</v>
      </c>
      <c r="B9" s="40">
        <v>548.98</v>
      </c>
      <c r="C9" s="44">
        <v>36526</v>
      </c>
      <c r="D9" s="36" t="s">
        <v>241</v>
      </c>
      <c r="E9" s="36" t="s">
        <v>233</v>
      </c>
      <c r="F9" s="36"/>
      <c r="G9" s="36"/>
    </row>
    <row r="10" spans="1:7">
      <c r="A10" s="36" t="s">
        <v>240</v>
      </c>
      <c r="B10" s="40">
        <v>558.16999999999996</v>
      </c>
      <c r="C10" s="44">
        <v>36526</v>
      </c>
      <c r="D10" s="36" t="s">
        <v>241</v>
      </c>
      <c r="E10" s="36" t="s">
        <v>233</v>
      </c>
      <c r="F10" s="36"/>
      <c r="G10" s="36"/>
    </row>
    <row r="11" spans="1:7">
      <c r="A11" s="36" t="s">
        <v>249</v>
      </c>
      <c r="B11" s="40">
        <v>2.0392999999999999</v>
      </c>
      <c r="C11" s="44">
        <v>36526</v>
      </c>
      <c r="D11" s="36" t="s">
        <v>250</v>
      </c>
      <c r="E11" s="36" t="s">
        <v>233</v>
      </c>
      <c r="F11" s="36"/>
      <c r="G11" s="36"/>
    </row>
    <row r="12" spans="1:7">
      <c r="A12" s="36" t="s">
        <v>253</v>
      </c>
      <c r="B12" s="40">
        <v>43.12</v>
      </c>
      <c r="C12" s="44">
        <v>36526</v>
      </c>
      <c r="D12" s="36" t="s">
        <v>239</v>
      </c>
      <c r="E12" s="36" t="s">
        <v>233</v>
      </c>
      <c r="F12" s="36"/>
      <c r="G12" s="36"/>
    </row>
    <row r="13" spans="1:7">
      <c r="A13" s="36" t="s">
        <v>254</v>
      </c>
      <c r="B13" s="40">
        <v>29.25</v>
      </c>
      <c r="C13" s="44">
        <v>36526</v>
      </c>
      <c r="D13" s="36" t="s">
        <v>239</v>
      </c>
      <c r="E13" s="36" t="s">
        <v>233</v>
      </c>
      <c r="F13" s="36"/>
      <c r="G13" s="36"/>
    </row>
    <row r="14" spans="1:7">
      <c r="A14" s="36" t="s">
        <v>238</v>
      </c>
      <c r="B14" s="40">
        <v>269.25</v>
      </c>
      <c r="C14" s="44">
        <v>36526</v>
      </c>
      <c r="D14" s="36" t="s">
        <v>239</v>
      </c>
      <c r="E14" s="36" t="s">
        <v>233</v>
      </c>
      <c r="F14" s="36"/>
      <c r="G14" s="36"/>
    </row>
    <row r="15" spans="1:7">
      <c r="A15" s="36" t="s">
        <v>247</v>
      </c>
      <c r="B15" s="40">
        <v>487.84</v>
      </c>
      <c r="C15" s="44">
        <v>36526</v>
      </c>
      <c r="D15" s="36" t="s">
        <v>248</v>
      </c>
      <c r="E15" s="36" t="s">
        <v>233</v>
      </c>
      <c r="F15" s="36"/>
      <c r="G15" s="36"/>
    </row>
    <row r="16" spans="1:7">
      <c r="A16" s="36" t="s">
        <v>231</v>
      </c>
      <c r="B16" s="40">
        <v>53.21</v>
      </c>
      <c r="C16" s="44">
        <v>36526</v>
      </c>
      <c r="D16" s="36" t="s">
        <v>232</v>
      </c>
      <c r="E16" s="36" t="s">
        <v>233</v>
      </c>
      <c r="F16" s="36">
        <v>0</v>
      </c>
      <c r="G16" s="36">
        <v>4</v>
      </c>
    </row>
    <row r="17" spans="1:7">
      <c r="A17" s="36" t="s">
        <v>246</v>
      </c>
      <c r="B17" s="40">
        <v>89</v>
      </c>
      <c r="C17" s="44">
        <v>36526</v>
      </c>
      <c r="D17" s="36" t="s">
        <v>232</v>
      </c>
      <c r="E17" s="36" t="s">
        <v>233</v>
      </c>
      <c r="F17" s="36">
        <v>0</v>
      </c>
      <c r="G17" s="36">
        <v>4</v>
      </c>
    </row>
    <row r="18" spans="1:7">
      <c r="A18" s="36" t="s">
        <v>244</v>
      </c>
      <c r="B18" s="40">
        <v>0</v>
      </c>
      <c r="C18" s="44">
        <v>36526</v>
      </c>
      <c r="D18" s="36" t="s">
        <v>245</v>
      </c>
      <c r="E18" s="36"/>
      <c r="F18" s="36"/>
      <c r="G18" s="36"/>
    </row>
    <row r="19" spans="1:7">
      <c r="A19" s="36"/>
      <c r="B19" s="40"/>
      <c r="C19" s="44"/>
      <c r="D19" s="36"/>
      <c r="E19" s="36"/>
      <c r="F19" s="36"/>
      <c r="G19" s="36"/>
    </row>
    <row r="20" spans="1:7">
      <c r="A20" s="36"/>
      <c r="B20" s="40"/>
      <c r="C20" s="40"/>
      <c r="D20" s="36"/>
      <c r="E20" s="36"/>
      <c r="F20" s="36"/>
      <c r="G20" s="36"/>
    </row>
    <row r="21" spans="1:7">
      <c r="A21" s="36"/>
      <c r="B21" s="40"/>
      <c r="C21" s="40"/>
      <c r="D21" s="36"/>
      <c r="E21" s="36"/>
      <c r="F21" s="36"/>
      <c r="G21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7627-CD49-4A1D-8CDB-7FE89F276979}">
  <sheetPr codeName="Sheet9"/>
  <dimension ref="A1:J17"/>
  <sheetViews>
    <sheetView zoomScale="70" zoomScaleNormal="70" workbookViewId="0">
      <selection activeCell="A21" sqref="A21"/>
    </sheetView>
  </sheetViews>
  <sheetFormatPr defaultColWidth="0" defaultRowHeight="24.75" customHeight="1"/>
  <cols>
    <col min="1" max="1" width="19.5703125" style="64" customWidth="1"/>
    <col min="2" max="2" width="18" style="64" customWidth="1"/>
    <col min="3" max="3" width="23.85546875" style="64" customWidth="1"/>
    <col min="4" max="4" width="19.140625" style="64" customWidth="1"/>
    <col min="5" max="5" width="27" style="64" customWidth="1"/>
    <col min="6" max="6" width="30.28515625" style="64" customWidth="1"/>
    <col min="7" max="7" width="47.85546875" style="64" customWidth="1"/>
    <col min="8" max="8" width="20.28515625" style="64" customWidth="1"/>
    <col min="9" max="10" width="16.42578125" style="64" customWidth="1"/>
    <col min="11" max="16384" width="9.140625" hidden="1"/>
  </cols>
  <sheetData>
    <row r="1" spans="1:10" ht="32.25" customHeight="1">
      <c r="A1" s="65" t="s">
        <v>22</v>
      </c>
      <c r="B1" s="65" t="s">
        <v>218</v>
      </c>
      <c r="C1" s="65" t="s">
        <v>221</v>
      </c>
      <c r="D1" s="66" t="s">
        <v>294</v>
      </c>
      <c r="E1" s="67" t="s">
        <v>475</v>
      </c>
      <c r="F1" s="67" t="s">
        <v>476</v>
      </c>
      <c r="G1" s="67" t="s">
        <v>1</v>
      </c>
      <c r="H1" s="68" t="s">
        <v>477</v>
      </c>
      <c r="I1" s="67" t="s">
        <v>478</v>
      </c>
      <c r="J1" s="68" t="s">
        <v>479</v>
      </c>
    </row>
    <row r="2" spans="1:10" ht="24.75" customHeight="1">
      <c r="A2" s="58" t="s">
        <v>297</v>
      </c>
      <c r="B2" s="58">
        <v>0</v>
      </c>
      <c r="C2" s="85">
        <v>36526</v>
      </c>
      <c r="D2" s="59">
        <v>1</v>
      </c>
      <c r="E2" s="60" t="s">
        <v>298</v>
      </c>
      <c r="F2" s="60" t="s">
        <v>299</v>
      </c>
      <c r="G2" s="60" t="s">
        <v>300</v>
      </c>
      <c r="H2" s="61">
        <v>2.8650000000000002</v>
      </c>
      <c r="I2" s="62">
        <v>2.8650000000000002</v>
      </c>
      <c r="J2" s="63" t="s">
        <v>301</v>
      </c>
    </row>
    <row r="3" spans="1:10" ht="24.75" customHeight="1">
      <c r="A3" s="58" t="s">
        <v>297</v>
      </c>
      <c r="B3" s="58">
        <v>0</v>
      </c>
      <c r="C3" s="85">
        <v>36526</v>
      </c>
      <c r="D3" s="59">
        <v>1</v>
      </c>
      <c r="E3" s="60" t="s">
        <v>302</v>
      </c>
      <c r="F3" s="60" t="s">
        <v>303</v>
      </c>
      <c r="G3" s="60" t="s">
        <v>304</v>
      </c>
      <c r="H3" s="61">
        <v>6.4000000000000001E-2</v>
      </c>
      <c r="I3" s="62">
        <v>6.4000000000000001E-2</v>
      </c>
      <c r="J3" s="63" t="s">
        <v>301</v>
      </c>
    </row>
    <row r="4" spans="1:10" ht="24.75" customHeight="1">
      <c r="A4" s="58" t="s">
        <v>297</v>
      </c>
      <c r="B4" s="58">
        <v>0</v>
      </c>
      <c r="C4" s="85">
        <v>36526</v>
      </c>
      <c r="D4" s="59">
        <v>1</v>
      </c>
      <c r="E4" s="60" t="s">
        <v>305</v>
      </c>
      <c r="F4" s="60" t="s">
        <v>306</v>
      </c>
      <c r="G4" s="60" t="s">
        <v>307</v>
      </c>
      <c r="H4" s="61">
        <v>0.20200000000000001</v>
      </c>
      <c r="I4" s="62">
        <v>0.20200000000000001</v>
      </c>
      <c r="J4" s="63" t="s">
        <v>301</v>
      </c>
    </row>
    <row r="5" spans="1:10" ht="24.75" customHeight="1">
      <c r="A5" s="58" t="s">
        <v>297</v>
      </c>
      <c r="B5" s="58">
        <v>0</v>
      </c>
      <c r="C5" s="85">
        <v>36526</v>
      </c>
      <c r="D5" s="59">
        <v>1</v>
      </c>
      <c r="E5" s="60" t="s">
        <v>308</v>
      </c>
      <c r="F5" s="60" t="s">
        <v>309</v>
      </c>
      <c r="G5" s="60" t="s">
        <v>310</v>
      </c>
      <c r="H5" s="61">
        <v>0.14799999999999999</v>
      </c>
      <c r="I5" s="62">
        <v>0.14799999999999999</v>
      </c>
      <c r="J5" s="63" t="s">
        <v>301</v>
      </c>
    </row>
    <row r="6" spans="1:10" ht="24.75" customHeight="1">
      <c r="A6" s="58" t="s">
        <v>297</v>
      </c>
      <c r="B6" s="58">
        <v>0</v>
      </c>
      <c r="C6" s="85">
        <v>36526</v>
      </c>
      <c r="D6" s="59">
        <v>2</v>
      </c>
      <c r="E6" s="60" t="s">
        <v>311</v>
      </c>
      <c r="F6" s="60" t="s">
        <v>312</v>
      </c>
      <c r="G6" s="60" t="s">
        <v>313</v>
      </c>
      <c r="H6" s="61">
        <v>0.43</v>
      </c>
      <c r="I6" s="62">
        <v>0.215</v>
      </c>
      <c r="J6" s="63" t="s">
        <v>301</v>
      </c>
    </row>
    <row r="7" spans="1:10" ht="24.75" customHeight="1">
      <c r="A7" s="58" t="s">
        <v>297</v>
      </c>
      <c r="B7" s="58">
        <v>0</v>
      </c>
      <c r="C7" s="85">
        <v>36526</v>
      </c>
      <c r="D7" s="59">
        <v>2</v>
      </c>
      <c r="E7" s="60" t="s">
        <v>314</v>
      </c>
      <c r="F7" s="60" t="s">
        <v>315</v>
      </c>
      <c r="G7" s="60" t="s">
        <v>313</v>
      </c>
      <c r="H7" s="61">
        <v>0.09</v>
      </c>
      <c r="I7" s="62">
        <v>4.4999999999999998E-2</v>
      </c>
      <c r="J7" s="63" t="s">
        <v>301</v>
      </c>
    </row>
    <row r="8" spans="1:10" ht="24.75" customHeight="1">
      <c r="A8" s="58" t="s">
        <v>297</v>
      </c>
      <c r="B8" s="58">
        <v>0</v>
      </c>
      <c r="C8" s="85">
        <v>36526</v>
      </c>
      <c r="D8" s="59">
        <v>1</v>
      </c>
      <c r="E8" s="60" t="s">
        <v>316</v>
      </c>
      <c r="F8" s="60" t="s">
        <v>317</v>
      </c>
      <c r="G8" s="60" t="s">
        <v>318</v>
      </c>
      <c r="H8" s="61">
        <v>0.38400000000000001</v>
      </c>
      <c r="I8" s="62">
        <v>0.38400000000000001</v>
      </c>
      <c r="J8" s="63" t="s">
        <v>301</v>
      </c>
    </row>
    <row r="9" spans="1:10" ht="24.75" customHeight="1">
      <c r="A9" s="58" t="s">
        <v>297</v>
      </c>
      <c r="B9" s="58">
        <v>0</v>
      </c>
      <c r="C9" s="85">
        <v>36526</v>
      </c>
      <c r="D9" s="59">
        <v>2</v>
      </c>
      <c r="E9" s="60" t="s">
        <v>319</v>
      </c>
      <c r="F9" s="60" t="s">
        <v>320</v>
      </c>
      <c r="G9" s="60" t="s">
        <v>321</v>
      </c>
      <c r="H9" s="61">
        <v>0.88800000000000001</v>
      </c>
      <c r="I9" s="62">
        <v>0.44400000000000001</v>
      </c>
      <c r="J9" s="63" t="s">
        <v>301</v>
      </c>
    </row>
    <row r="10" spans="1:10" ht="24.75" customHeight="1">
      <c r="A10" s="58" t="s">
        <v>297</v>
      </c>
      <c r="B10" s="58">
        <v>0</v>
      </c>
      <c r="C10" s="85">
        <v>36526</v>
      </c>
      <c r="D10" s="59">
        <v>2</v>
      </c>
      <c r="E10" s="60" t="s">
        <v>322</v>
      </c>
      <c r="F10" s="60" t="s">
        <v>323</v>
      </c>
      <c r="G10" s="60" t="s">
        <v>324</v>
      </c>
      <c r="H10" s="61">
        <v>0.30399999999999999</v>
      </c>
      <c r="I10" s="62">
        <v>0.152</v>
      </c>
      <c r="J10" s="63" t="s">
        <v>301</v>
      </c>
    </row>
    <row r="11" spans="1:10" ht="24.75" customHeight="1">
      <c r="A11" s="58" t="s">
        <v>297</v>
      </c>
      <c r="B11" s="58">
        <v>0</v>
      </c>
      <c r="C11" s="85">
        <v>36526</v>
      </c>
      <c r="D11" s="59">
        <v>2</v>
      </c>
      <c r="E11" s="60" t="s">
        <v>325</v>
      </c>
      <c r="F11" s="60" t="s">
        <v>326</v>
      </c>
      <c r="G11" s="60" t="s">
        <v>327</v>
      </c>
      <c r="H11" s="61">
        <v>6.3E-2</v>
      </c>
      <c r="I11" s="62">
        <v>3.1E-2</v>
      </c>
      <c r="J11" s="63" t="s">
        <v>301</v>
      </c>
    </row>
    <row r="12" spans="1:10" ht="24.75" customHeight="1">
      <c r="A12" s="58" t="s">
        <v>297</v>
      </c>
      <c r="B12" s="58">
        <v>0</v>
      </c>
      <c r="C12" s="85">
        <v>36526</v>
      </c>
      <c r="D12" s="59">
        <v>2</v>
      </c>
      <c r="E12" s="60" t="s">
        <v>328</v>
      </c>
      <c r="F12" s="60" t="s">
        <v>326</v>
      </c>
      <c r="G12" s="60" t="s">
        <v>329</v>
      </c>
      <c r="H12" s="61">
        <v>0.215</v>
      </c>
      <c r="I12" s="62">
        <v>0.107</v>
      </c>
      <c r="J12" s="63" t="s">
        <v>301</v>
      </c>
    </row>
    <row r="13" spans="1:10" ht="24.75" customHeight="1">
      <c r="A13" s="58" t="s">
        <v>297</v>
      </c>
      <c r="B13" s="58">
        <v>0</v>
      </c>
      <c r="C13" s="85">
        <v>36526</v>
      </c>
      <c r="D13" s="59">
        <v>2</v>
      </c>
      <c r="E13" s="60" t="s">
        <v>330</v>
      </c>
      <c r="F13" s="60" t="s">
        <v>331</v>
      </c>
      <c r="G13" s="60" t="s">
        <v>332</v>
      </c>
      <c r="H13" s="61">
        <v>0.16600000000000001</v>
      </c>
      <c r="I13" s="62">
        <v>8.3000000000000004E-2</v>
      </c>
      <c r="J13" s="63" t="s">
        <v>301</v>
      </c>
    </row>
    <row r="14" spans="1:10" ht="24.75" customHeight="1">
      <c r="A14" s="58" t="s">
        <v>297</v>
      </c>
      <c r="B14" s="58">
        <v>0</v>
      </c>
      <c r="C14" s="85">
        <v>36526</v>
      </c>
      <c r="D14" s="59">
        <v>4</v>
      </c>
      <c r="E14" s="60" t="s">
        <v>333</v>
      </c>
      <c r="F14" s="60" t="s">
        <v>334</v>
      </c>
      <c r="G14" s="60" t="s">
        <v>335</v>
      </c>
      <c r="H14" s="61">
        <v>2.6779999999999999</v>
      </c>
      <c r="I14" s="62">
        <v>0.66900000000000004</v>
      </c>
      <c r="J14" s="63" t="s">
        <v>301</v>
      </c>
    </row>
    <row r="15" spans="1:10" ht="24.75" customHeight="1">
      <c r="A15" s="58" t="s">
        <v>297</v>
      </c>
      <c r="B15" s="58">
        <v>0</v>
      </c>
      <c r="C15" s="85">
        <v>36526</v>
      </c>
      <c r="D15" s="59">
        <v>1</v>
      </c>
      <c r="E15" s="60" t="s">
        <v>336</v>
      </c>
      <c r="F15" s="60" t="s">
        <v>337</v>
      </c>
      <c r="G15" s="60" t="s">
        <v>338</v>
      </c>
      <c r="H15" s="61">
        <v>2.7E-2</v>
      </c>
      <c r="I15" s="62">
        <v>2.7E-2</v>
      </c>
      <c r="J15" s="63" t="s">
        <v>301</v>
      </c>
    </row>
    <row r="16" spans="1:10" ht="24.75" customHeight="1">
      <c r="A16" s="58" t="s">
        <v>297</v>
      </c>
      <c r="B16" s="58">
        <v>0</v>
      </c>
      <c r="C16" s="85">
        <v>36526</v>
      </c>
      <c r="D16" s="59">
        <v>2</v>
      </c>
      <c r="E16" s="60" t="s">
        <v>339</v>
      </c>
      <c r="F16" s="60" t="s">
        <v>340</v>
      </c>
      <c r="G16" s="60" t="s">
        <v>300</v>
      </c>
      <c r="H16" s="61">
        <v>0.77200000000000002</v>
      </c>
      <c r="I16" s="62">
        <v>0.38600000000000001</v>
      </c>
      <c r="J16" s="63" t="s">
        <v>301</v>
      </c>
    </row>
    <row r="17" spans="1:10" ht="24.75" customHeight="1">
      <c r="A17" s="58" t="s">
        <v>297</v>
      </c>
      <c r="B17" s="58">
        <v>0</v>
      </c>
      <c r="C17" s="85">
        <v>36526</v>
      </c>
      <c r="D17" s="59">
        <v>1</v>
      </c>
      <c r="E17" s="60" t="s">
        <v>341</v>
      </c>
      <c r="F17" s="60" t="s">
        <v>342</v>
      </c>
      <c r="G17" s="60" t="s">
        <v>313</v>
      </c>
      <c r="H17" s="61">
        <v>0.318</v>
      </c>
      <c r="I17" s="62">
        <v>0.318</v>
      </c>
      <c r="J17" s="63" t="s">
        <v>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060D-FE02-4480-A4B8-7B6C80194C64}">
  <sheetPr codeName="Sheet13"/>
  <dimension ref="A1:R48"/>
  <sheetViews>
    <sheetView tabSelected="1" zoomScaleNormal="100" workbookViewId="0">
      <selection activeCell="A13" sqref="A13"/>
    </sheetView>
  </sheetViews>
  <sheetFormatPr defaultColWidth="0" defaultRowHeight="24.75" customHeight="1"/>
  <cols>
    <col min="1" max="1" width="19" style="39" customWidth="1"/>
    <col min="2" max="2" width="14.7109375" style="41" customWidth="1"/>
    <col min="3" max="3" width="15.140625" style="41" customWidth="1"/>
    <col min="4" max="4" width="42.42578125" style="41" customWidth="1"/>
    <col min="5" max="5" width="53.85546875" style="41" customWidth="1"/>
    <col min="6" max="7" width="13.140625" style="41" customWidth="1"/>
    <col min="8" max="18" width="0" hidden="1" customWidth="1"/>
    <col min="19" max="16384" width="9.140625" hidden="1"/>
  </cols>
  <sheetData>
    <row r="1" spans="1:7" ht="18" customHeight="1">
      <c r="A1" s="28" t="s">
        <v>22</v>
      </c>
      <c r="B1" s="17" t="s">
        <v>218</v>
      </c>
      <c r="C1" s="17" t="s">
        <v>221</v>
      </c>
      <c r="D1" s="29" t="s">
        <v>188</v>
      </c>
      <c r="E1" s="29" t="s">
        <v>480</v>
      </c>
      <c r="F1" s="29"/>
      <c r="G1" s="29"/>
    </row>
    <row r="2" spans="1:7" ht="18" customHeight="1">
      <c r="A2" s="35" t="s">
        <v>343</v>
      </c>
      <c r="B2" s="40">
        <v>4.03</v>
      </c>
      <c r="C2" s="44">
        <v>36526</v>
      </c>
      <c r="D2" s="36" t="s">
        <v>481</v>
      </c>
      <c r="E2" s="36" t="s">
        <v>354</v>
      </c>
      <c r="F2" s="36"/>
      <c r="G2" s="36"/>
    </row>
    <row r="3" spans="1:7" ht="18" customHeight="1">
      <c r="A3" s="35" t="s">
        <v>344</v>
      </c>
      <c r="B3" s="40">
        <v>1.34</v>
      </c>
      <c r="C3" s="44">
        <v>36526</v>
      </c>
      <c r="D3" s="36" t="s">
        <v>345</v>
      </c>
      <c r="E3" s="36" t="s">
        <v>353</v>
      </c>
      <c r="F3" s="36"/>
      <c r="G3" s="36"/>
    </row>
    <row r="4" spans="1:7" ht="18" customHeight="1">
      <c r="A4" s="35" t="s">
        <v>346</v>
      </c>
      <c r="B4" s="40">
        <v>0.68</v>
      </c>
      <c r="C4" s="44">
        <v>36526</v>
      </c>
      <c r="D4" s="36" t="s">
        <v>355</v>
      </c>
      <c r="E4" s="36" t="s">
        <v>356</v>
      </c>
      <c r="F4" s="36"/>
      <c r="G4" s="36"/>
    </row>
    <row r="5" spans="1:7" ht="18" customHeight="1">
      <c r="A5" s="35" t="s">
        <v>347</v>
      </c>
      <c r="B5" s="40">
        <v>0.8</v>
      </c>
      <c r="C5" s="44">
        <v>36526</v>
      </c>
      <c r="D5" s="36" t="s">
        <v>355</v>
      </c>
      <c r="E5" s="36" t="s">
        <v>356</v>
      </c>
      <c r="F5" s="36"/>
      <c r="G5" s="36"/>
    </row>
    <row r="6" spans="1:7" ht="18" customHeight="1">
      <c r="A6" s="35" t="s">
        <v>348</v>
      </c>
      <c r="B6" s="40">
        <v>0.06</v>
      </c>
      <c r="C6" s="44">
        <v>36526</v>
      </c>
      <c r="D6" s="36" t="s">
        <v>349</v>
      </c>
      <c r="E6" s="36" t="s">
        <v>357</v>
      </c>
      <c r="F6" s="36"/>
      <c r="G6" s="36"/>
    </row>
    <row r="7" spans="1:7" ht="18" customHeight="1">
      <c r="A7" s="35" t="s">
        <v>350</v>
      </c>
      <c r="B7" s="40">
        <v>0.16</v>
      </c>
      <c r="C7" s="44">
        <v>36526</v>
      </c>
      <c r="D7" s="36" t="s">
        <v>349</v>
      </c>
      <c r="E7" s="36" t="s">
        <v>357</v>
      </c>
      <c r="F7" s="36"/>
      <c r="G7" s="36"/>
    </row>
    <row r="8" spans="1:7" ht="18" customHeight="1">
      <c r="A8" s="35" t="s">
        <v>351</v>
      </c>
      <c r="B8" s="40">
        <v>0.08</v>
      </c>
      <c r="C8" s="44">
        <v>36526</v>
      </c>
      <c r="D8" s="36" t="s">
        <v>349</v>
      </c>
      <c r="E8" s="36" t="s">
        <v>357</v>
      </c>
      <c r="F8" s="36"/>
      <c r="G8" s="36"/>
    </row>
    <row r="9" spans="1:7" ht="18" customHeight="1">
      <c r="A9" s="35" t="s">
        <v>352</v>
      </c>
      <c r="B9" s="40">
        <v>0.33</v>
      </c>
      <c r="C9" s="44">
        <v>36526</v>
      </c>
      <c r="D9" s="36" t="s">
        <v>358</v>
      </c>
      <c r="E9" s="36" t="s">
        <v>357</v>
      </c>
      <c r="F9" s="36"/>
      <c r="G9" s="36"/>
    </row>
    <row r="10" spans="1:7" ht="18" customHeight="1"/>
    <row r="11" spans="1:7" ht="18" customHeight="1"/>
    <row r="12" spans="1:7" ht="18" customHeight="1"/>
    <row r="13" spans="1:7" ht="18" customHeight="1"/>
    <row r="14" spans="1:7" ht="18" customHeight="1"/>
    <row r="15" spans="1:7" ht="18" customHeight="1"/>
    <row r="16" spans="1:7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34E63-FBD3-472A-9A3D-D091453C6150}">
  <sheetPr codeName="Sheet11"/>
  <dimension ref="A1:R48"/>
  <sheetViews>
    <sheetView zoomScaleNormal="100" workbookViewId="0">
      <selection activeCell="A13" sqref="A13"/>
    </sheetView>
  </sheetViews>
  <sheetFormatPr defaultColWidth="0" defaultRowHeight="24.75" customHeight="1"/>
  <cols>
    <col min="1" max="1" width="19" style="39" customWidth="1"/>
    <col min="2" max="2" width="14.7109375" style="41" customWidth="1"/>
    <col min="3" max="3" width="15.140625" style="41" customWidth="1"/>
    <col min="4" max="4" width="42.42578125" style="41" customWidth="1"/>
    <col min="5" max="5" width="53.85546875" style="41" customWidth="1"/>
    <col min="6" max="7" width="13.140625" style="41" customWidth="1"/>
    <col min="8" max="18" width="0" hidden="1" customWidth="1"/>
    <col min="19" max="16384" width="9.140625" hidden="1"/>
  </cols>
  <sheetData>
    <row r="1" spans="1:7" ht="18" customHeight="1">
      <c r="A1" s="28" t="s">
        <v>22</v>
      </c>
      <c r="B1" s="17" t="s">
        <v>218</v>
      </c>
      <c r="C1" s="17" t="s">
        <v>221</v>
      </c>
      <c r="D1" s="29" t="s">
        <v>188</v>
      </c>
      <c r="E1" s="29" t="s">
        <v>480</v>
      </c>
      <c r="F1" s="29"/>
      <c r="G1" s="29"/>
    </row>
    <row r="2" spans="1:7" ht="18" customHeight="1">
      <c r="A2" s="35" t="s">
        <v>343</v>
      </c>
      <c r="B2" s="40">
        <v>4.03</v>
      </c>
      <c r="C2" s="44">
        <v>36526</v>
      </c>
      <c r="D2" s="36" t="s">
        <v>481</v>
      </c>
      <c r="E2" s="36" t="s">
        <v>354</v>
      </c>
      <c r="F2" s="36"/>
      <c r="G2" s="36"/>
    </row>
    <row r="3" spans="1:7" ht="18" customHeight="1">
      <c r="A3" s="35" t="s">
        <v>344</v>
      </c>
      <c r="B3" s="40">
        <v>1.34</v>
      </c>
      <c r="C3" s="44">
        <v>36526</v>
      </c>
      <c r="D3" s="36" t="s">
        <v>345</v>
      </c>
      <c r="E3" s="36" t="s">
        <v>353</v>
      </c>
      <c r="F3" s="36"/>
      <c r="G3" s="36"/>
    </row>
    <row r="4" spans="1:7" ht="18" customHeight="1">
      <c r="A4" s="35" t="s">
        <v>346</v>
      </c>
      <c r="B4" s="40">
        <v>0.68</v>
      </c>
      <c r="C4" s="44">
        <v>36526</v>
      </c>
      <c r="D4" s="36" t="s">
        <v>355</v>
      </c>
      <c r="E4" s="36" t="s">
        <v>356</v>
      </c>
      <c r="F4" s="36"/>
      <c r="G4" s="36"/>
    </row>
    <row r="5" spans="1:7" ht="18" customHeight="1">
      <c r="A5" s="35" t="s">
        <v>347</v>
      </c>
      <c r="B5" s="40">
        <v>0.8</v>
      </c>
      <c r="C5" s="44">
        <v>36526</v>
      </c>
      <c r="D5" s="36" t="s">
        <v>355</v>
      </c>
      <c r="E5" s="36" t="s">
        <v>356</v>
      </c>
      <c r="F5" s="36"/>
      <c r="G5" s="36"/>
    </row>
    <row r="6" spans="1:7" ht="18" customHeight="1">
      <c r="A6" s="35" t="s">
        <v>348</v>
      </c>
      <c r="B6" s="40">
        <v>0.06</v>
      </c>
      <c r="C6" s="44">
        <v>36526</v>
      </c>
      <c r="D6" s="36" t="s">
        <v>349</v>
      </c>
      <c r="E6" s="36" t="s">
        <v>357</v>
      </c>
      <c r="F6" s="36"/>
      <c r="G6" s="36"/>
    </row>
    <row r="7" spans="1:7" ht="18" customHeight="1">
      <c r="A7" s="35" t="s">
        <v>350</v>
      </c>
      <c r="B7" s="40">
        <v>0.16</v>
      </c>
      <c r="C7" s="44">
        <v>36526</v>
      </c>
      <c r="D7" s="36" t="s">
        <v>349</v>
      </c>
      <c r="E7" s="36" t="s">
        <v>357</v>
      </c>
      <c r="F7" s="36"/>
      <c r="G7" s="36"/>
    </row>
    <row r="8" spans="1:7" ht="18" customHeight="1">
      <c r="A8" s="35" t="s">
        <v>351</v>
      </c>
      <c r="B8" s="40">
        <v>0.08</v>
      </c>
      <c r="C8" s="44">
        <v>36526</v>
      </c>
      <c r="D8" s="36" t="s">
        <v>349</v>
      </c>
      <c r="E8" s="36" t="s">
        <v>357</v>
      </c>
      <c r="F8" s="36"/>
      <c r="G8" s="36"/>
    </row>
    <row r="9" spans="1:7" ht="18" customHeight="1">
      <c r="A9" s="35" t="s">
        <v>352</v>
      </c>
      <c r="B9" s="40">
        <v>0.33</v>
      </c>
      <c r="C9" s="44">
        <v>36526</v>
      </c>
      <c r="D9" s="36" t="s">
        <v>358</v>
      </c>
      <c r="E9" s="36" t="s">
        <v>357</v>
      </c>
      <c r="F9" s="36"/>
      <c r="G9" s="36"/>
    </row>
    <row r="10" spans="1:7" ht="18" customHeight="1"/>
    <row r="11" spans="1:7" ht="18" customHeight="1"/>
    <row r="12" spans="1:7" ht="18" customHeight="1"/>
    <row r="13" spans="1:7" ht="18" customHeight="1"/>
    <row r="14" spans="1:7" ht="18" customHeight="1"/>
    <row r="15" spans="1:7" ht="18" customHeight="1"/>
    <row r="16" spans="1:7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1CAA-9829-4A7E-A908-CF834E45B09D}">
  <sheetPr codeName="Sheet12"/>
  <dimension ref="A1:R46"/>
  <sheetViews>
    <sheetView zoomScaleNormal="100" workbookViewId="0">
      <selection activeCell="A11" sqref="A11"/>
    </sheetView>
  </sheetViews>
  <sheetFormatPr defaultColWidth="0" defaultRowHeight="24.75" customHeight="1"/>
  <cols>
    <col min="1" max="1" width="19.28515625" style="39" bestFit="1" customWidth="1"/>
    <col min="2" max="2" width="14.7109375" style="41" customWidth="1"/>
    <col min="3" max="3" width="15.140625" style="41" customWidth="1"/>
    <col min="4" max="4" width="58.42578125" style="41" customWidth="1"/>
    <col min="5" max="5" width="18.42578125" style="41" customWidth="1"/>
    <col min="6" max="7" width="13.140625" style="41" customWidth="1"/>
    <col min="8" max="18" width="0" hidden="1" customWidth="1"/>
    <col min="19" max="16384" width="9.140625" hidden="1"/>
  </cols>
  <sheetData>
    <row r="1" spans="1:18" ht="18" customHeight="1">
      <c r="A1" s="28" t="s">
        <v>22</v>
      </c>
      <c r="B1" s="17" t="s">
        <v>218</v>
      </c>
      <c r="C1" s="17" t="s">
        <v>221</v>
      </c>
      <c r="D1" s="29" t="s">
        <v>188</v>
      </c>
      <c r="E1" s="29" t="s">
        <v>480</v>
      </c>
      <c r="F1" s="29"/>
      <c r="G1" s="29"/>
    </row>
    <row r="2" spans="1:18" ht="18" customHeight="1">
      <c r="A2" s="35" t="s">
        <v>359</v>
      </c>
      <c r="B2" s="40">
        <v>1267</v>
      </c>
      <c r="C2" s="44">
        <v>36526</v>
      </c>
      <c r="D2" s="36" t="s">
        <v>482</v>
      </c>
      <c r="E2" s="36" t="s">
        <v>360</v>
      </c>
      <c r="F2" s="36"/>
      <c r="G2" s="36"/>
    </row>
    <row r="3" spans="1:18" ht="18" customHeight="1">
      <c r="A3" s="35" t="s">
        <v>361</v>
      </c>
      <c r="B3" s="40">
        <v>1126</v>
      </c>
      <c r="C3" s="44">
        <v>36526</v>
      </c>
      <c r="D3" s="36" t="s">
        <v>483</v>
      </c>
      <c r="E3" s="36" t="s">
        <v>360</v>
      </c>
      <c r="F3" s="36"/>
      <c r="G3" s="36"/>
    </row>
    <row r="4" spans="1:18" ht="18" customHeight="1">
      <c r="A4" s="35" t="s">
        <v>362</v>
      </c>
      <c r="B4" s="40">
        <v>1038</v>
      </c>
      <c r="C4" s="44">
        <v>36526</v>
      </c>
      <c r="D4" s="36" t="s">
        <v>484</v>
      </c>
      <c r="E4" s="36" t="s">
        <v>360</v>
      </c>
      <c r="F4" s="36"/>
      <c r="G4" s="36"/>
    </row>
    <row r="5" spans="1:18" ht="18" customHeight="1">
      <c r="A5" s="35" t="s">
        <v>363</v>
      </c>
      <c r="B5" s="40">
        <v>968</v>
      </c>
      <c r="C5" s="44">
        <v>36526</v>
      </c>
      <c r="D5" s="36" t="s">
        <v>485</v>
      </c>
      <c r="E5" s="36" t="s">
        <v>360</v>
      </c>
      <c r="F5" s="36"/>
      <c r="G5" s="36"/>
    </row>
    <row r="6" spans="1:18" ht="18" customHeight="1">
      <c r="A6" s="35" t="s">
        <v>364</v>
      </c>
      <c r="B6" s="40">
        <v>858</v>
      </c>
      <c r="C6" s="44">
        <v>36526</v>
      </c>
      <c r="D6" s="36" t="s">
        <v>486</v>
      </c>
      <c r="E6" s="36" t="s">
        <v>360</v>
      </c>
      <c r="F6" s="36"/>
      <c r="G6" s="36"/>
    </row>
    <row r="7" spans="1:18" ht="18" customHeight="1">
      <c r="A7" s="35" t="s">
        <v>365</v>
      </c>
      <c r="B7" s="40">
        <v>852</v>
      </c>
      <c r="C7" s="44">
        <v>36526</v>
      </c>
      <c r="D7" s="36" t="s">
        <v>487</v>
      </c>
      <c r="E7" s="36" t="s">
        <v>360</v>
      </c>
      <c r="F7" s="36"/>
      <c r="G7" s="36"/>
    </row>
    <row r="8" spans="1:18" ht="18" customHeight="1"/>
    <row r="9" spans="1:18" ht="18" customHeight="1"/>
    <row r="10" spans="1:18" ht="18" customHeight="1"/>
    <row r="11" spans="1:18" ht="18" customHeight="1"/>
    <row r="12" spans="1:18" ht="18" customHeight="1"/>
    <row r="13" spans="1:18" ht="18" customHeight="1"/>
    <row r="14" spans="1:18" ht="18" customHeight="1"/>
    <row r="15" spans="1:18" s="39" customFormat="1" ht="18" customHeight="1">
      <c r="B15" s="41"/>
      <c r="C15" s="41"/>
      <c r="D15" s="41"/>
      <c r="E15" s="41"/>
      <c r="F15" s="41"/>
      <c r="G15" s="41"/>
      <c r="H15"/>
      <c r="I15"/>
      <c r="J15"/>
      <c r="K15"/>
      <c r="L15"/>
      <c r="M15"/>
      <c r="N15"/>
      <c r="O15"/>
      <c r="P15"/>
      <c r="Q15"/>
      <c r="R15"/>
    </row>
    <row r="16" spans="1:18" s="39" customFormat="1" ht="18" customHeight="1">
      <c r="B16" s="41"/>
      <c r="C16" s="41"/>
      <c r="D16" s="41"/>
      <c r="E16" s="41"/>
      <c r="F16" s="41"/>
      <c r="G16" s="41"/>
      <c r="H16"/>
      <c r="I16"/>
      <c r="J16"/>
      <c r="K16"/>
      <c r="L16"/>
      <c r="M16"/>
      <c r="N16"/>
      <c r="O16"/>
      <c r="P16"/>
      <c r="Q16"/>
      <c r="R16"/>
    </row>
    <row r="17" spans="2:18" s="39" customFormat="1" ht="18" customHeight="1">
      <c r="B17" s="41"/>
      <c r="C17" s="41"/>
      <c r="D17" s="41"/>
      <c r="E17" s="41"/>
      <c r="F17" s="41"/>
      <c r="G17" s="41"/>
      <c r="H17"/>
      <c r="I17"/>
      <c r="J17"/>
      <c r="K17"/>
      <c r="L17"/>
      <c r="M17"/>
      <c r="N17"/>
      <c r="O17"/>
      <c r="P17"/>
      <c r="Q17"/>
      <c r="R17"/>
    </row>
    <row r="18" spans="2:18" s="39" customFormat="1" ht="18" customHeight="1">
      <c r="B18" s="41"/>
      <c r="C18" s="41"/>
      <c r="D18" s="41"/>
      <c r="E18" s="41"/>
      <c r="F18" s="41"/>
      <c r="G18" s="41"/>
      <c r="H18"/>
      <c r="I18"/>
      <c r="J18"/>
      <c r="K18"/>
      <c r="L18"/>
      <c r="M18"/>
      <c r="N18"/>
      <c r="O18"/>
      <c r="P18"/>
      <c r="Q18"/>
      <c r="R18"/>
    </row>
    <row r="19" spans="2:18" s="39" customFormat="1" ht="18" customHeight="1">
      <c r="B19" s="41"/>
      <c r="C19" s="41"/>
      <c r="D19" s="41"/>
      <c r="E19" s="41"/>
      <c r="F19" s="41"/>
      <c r="G19" s="41"/>
      <c r="H19"/>
      <c r="I19"/>
      <c r="J19"/>
      <c r="K19"/>
      <c r="L19"/>
      <c r="M19"/>
      <c r="N19"/>
      <c r="O19"/>
      <c r="P19"/>
      <c r="Q19"/>
      <c r="R19"/>
    </row>
    <row r="20" spans="2:18" s="39" customFormat="1" ht="18" customHeight="1">
      <c r="B20" s="41"/>
      <c r="C20" s="41"/>
      <c r="D20" s="41"/>
      <c r="E20" s="41"/>
      <c r="F20" s="41"/>
      <c r="G20" s="41"/>
      <c r="H20"/>
      <c r="I20"/>
      <c r="J20"/>
      <c r="K20"/>
      <c r="L20"/>
      <c r="M20"/>
      <c r="N20"/>
      <c r="O20"/>
      <c r="P20"/>
      <c r="Q20"/>
      <c r="R20"/>
    </row>
    <row r="21" spans="2:18" s="39" customFormat="1" ht="18" customHeight="1">
      <c r="B21" s="41"/>
      <c r="C21" s="41"/>
      <c r="D21" s="41"/>
      <c r="E21" s="41"/>
      <c r="F21" s="41"/>
      <c r="G21" s="41"/>
      <c r="H21"/>
      <c r="I21"/>
      <c r="J21"/>
      <c r="K21"/>
      <c r="L21"/>
      <c r="M21"/>
      <c r="N21"/>
      <c r="O21"/>
      <c r="P21"/>
      <c r="Q21"/>
      <c r="R21"/>
    </row>
    <row r="22" spans="2:18" s="39" customFormat="1" ht="18" customHeight="1">
      <c r="B22" s="41"/>
      <c r="C22" s="41"/>
      <c r="D22" s="41"/>
      <c r="E22" s="41"/>
      <c r="F22" s="41"/>
      <c r="G22" s="41"/>
      <c r="H22"/>
      <c r="I22"/>
      <c r="J22"/>
      <c r="K22"/>
      <c r="L22"/>
      <c r="M22"/>
      <c r="N22"/>
      <c r="O22"/>
      <c r="P22"/>
      <c r="Q22"/>
      <c r="R22"/>
    </row>
    <row r="23" spans="2:18" s="39" customFormat="1" ht="18" customHeight="1">
      <c r="B23" s="41"/>
      <c r="C23" s="41"/>
      <c r="D23" s="41"/>
      <c r="E23" s="41"/>
      <c r="F23" s="41"/>
      <c r="G23" s="41"/>
      <c r="H23"/>
      <c r="I23"/>
      <c r="J23"/>
      <c r="K23"/>
      <c r="L23"/>
      <c r="M23"/>
      <c r="N23"/>
      <c r="O23"/>
      <c r="P23"/>
      <c r="Q23"/>
      <c r="R23"/>
    </row>
    <row r="24" spans="2:18" s="39" customFormat="1" ht="18" customHeight="1">
      <c r="B24" s="41"/>
      <c r="C24" s="41"/>
      <c r="D24" s="41"/>
      <c r="E24" s="41"/>
      <c r="F24" s="41"/>
      <c r="G24" s="41"/>
      <c r="H24"/>
      <c r="I24"/>
      <c r="J24"/>
      <c r="K24"/>
      <c r="L24"/>
      <c r="M24"/>
      <c r="N24"/>
      <c r="O24"/>
      <c r="P24"/>
      <c r="Q24"/>
      <c r="R24"/>
    </row>
    <row r="25" spans="2:18" s="39" customFormat="1" ht="18" customHeight="1">
      <c r="B25" s="41"/>
      <c r="C25" s="41"/>
      <c r="D25" s="41"/>
      <c r="E25" s="41"/>
      <c r="F25" s="41"/>
      <c r="G25" s="41"/>
      <c r="H25"/>
      <c r="I25"/>
      <c r="J25"/>
      <c r="K25"/>
      <c r="L25"/>
      <c r="M25"/>
      <c r="N25"/>
      <c r="O25"/>
      <c r="P25"/>
      <c r="Q25"/>
      <c r="R25"/>
    </row>
    <row r="26" spans="2:18" s="39" customFormat="1" ht="18" customHeight="1">
      <c r="B26" s="41"/>
      <c r="C26" s="41"/>
      <c r="D26" s="41"/>
      <c r="E26" s="41"/>
      <c r="F26" s="41"/>
      <c r="G26" s="41"/>
      <c r="H26"/>
      <c r="I26"/>
      <c r="J26"/>
      <c r="K26"/>
      <c r="L26"/>
      <c r="M26"/>
      <c r="N26"/>
      <c r="O26"/>
      <c r="P26"/>
      <c r="Q26"/>
      <c r="R26"/>
    </row>
    <row r="27" spans="2:18" s="39" customFormat="1" ht="18" customHeight="1">
      <c r="B27" s="41"/>
      <c r="C27" s="41"/>
      <c r="D27" s="41"/>
      <c r="E27" s="41"/>
      <c r="F27" s="41"/>
      <c r="G27" s="41"/>
      <c r="H27"/>
      <c r="I27"/>
      <c r="J27"/>
      <c r="K27"/>
      <c r="L27"/>
      <c r="M27"/>
      <c r="N27"/>
      <c r="O27"/>
      <c r="P27"/>
      <c r="Q27"/>
      <c r="R27"/>
    </row>
    <row r="28" spans="2:18" s="39" customFormat="1" ht="18" customHeight="1">
      <c r="B28" s="41"/>
      <c r="C28" s="41"/>
      <c r="D28" s="41"/>
      <c r="E28" s="41"/>
      <c r="F28" s="41"/>
      <c r="G28" s="41"/>
      <c r="H28"/>
      <c r="I28"/>
      <c r="J28"/>
      <c r="K28"/>
      <c r="L28"/>
      <c r="M28"/>
      <c r="N28"/>
      <c r="O28"/>
      <c r="P28"/>
      <c r="Q28"/>
      <c r="R28"/>
    </row>
    <row r="29" spans="2:18" s="39" customFormat="1" ht="18" customHeight="1">
      <c r="B29" s="41"/>
      <c r="C29" s="41"/>
      <c r="D29" s="41"/>
      <c r="E29" s="41"/>
      <c r="F29" s="41"/>
      <c r="G29" s="41"/>
      <c r="H29"/>
      <c r="I29"/>
      <c r="J29"/>
      <c r="K29"/>
      <c r="L29"/>
      <c r="M29"/>
      <c r="N29"/>
      <c r="O29"/>
      <c r="P29"/>
      <c r="Q29"/>
      <c r="R29"/>
    </row>
    <row r="30" spans="2:18" s="39" customFormat="1" ht="18" customHeight="1">
      <c r="B30" s="41"/>
      <c r="C30" s="41"/>
      <c r="D30" s="41"/>
      <c r="E30" s="41"/>
      <c r="F30" s="41"/>
      <c r="G30" s="41"/>
      <c r="H30"/>
      <c r="I30"/>
      <c r="J30"/>
      <c r="K30"/>
      <c r="L30"/>
      <c r="M30"/>
      <c r="N30"/>
      <c r="O30"/>
      <c r="P30"/>
      <c r="Q30"/>
      <c r="R30"/>
    </row>
    <row r="31" spans="2:18" s="39" customFormat="1" ht="18" customHeight="1">
      <c r="B31" s="41"/>
      <c r="C31" s="41"/>
      <c r="D31" s="41"/>
      <c r="E31" s="41"/>
      <c r="F31" s="41"/>
      <c r="G31" s="41"/>
      <c r="H31"/>
      <c r="I31"/>
      <c r="J31"/>
      <c r="K31"/>
      <c r="L31"/>
      <c r="M31"/>
      <c r="N31"/>
      <c r="O31"/>
      <c r="P31"/>
      <c r="Q31"/>
      <c r="R31"/>
    </row>
    <row r="32" spans="2:18" s="39" customFormat="1" ht="18" customHeight="1">
      <c r="B32" s="41"/>
      <c r="C32" s="41"/>
      <c r="D32" s="41"/>
      <c r="E32" s="41"/>
      <c r="F32" s="41"/>
      <c r="G32" s="41"/>
      <c r="H32"/>
      <c r="I32"/>
      <c r="J32"/>
      <c r="K32"/>
      <c r="L32"/>
      <c r="M32"/>
      <c r="N32"/>
      <c r="O32"/>
      <c r="P32"/>
      <c r="Q32"/>
      <c r="R32"/>
    </row>
    <row r="33" spans="2:18" s="39" customFormat="1" ht="18" customHeight="1">
      <c r="B33" s="41"/>
      <c r="C33" s="41"/>
      <c r="D33" s="41"/>
      <c r="E33" s="41"/>
      <c r="F33" s="41"/>
      <c r="G33" s="41"/>
      <c r="H33"/>
      <c r="I33"/>
      <c r="J33"/>
      <c r="K33"/>
      <c r="L33"/>
      <c r="M33"/>
      <c r="N33"/>
      <c r="O33"/>
      <c r="P33"/>
      <c r="Q33"/>
      <c r="R33"/>
    </row>
    <row r="34" spans="2:18" s="39" customFormat="1" ht="18" customHeight="1">
      <c r="B34" s="41"/>
      <c r="C34" s="41"/>
      <c r="D34" s="41"/>
      <c r="E34" s="41"/>
      <c r="F34" s="41"/>
      <c r="G34" s="41"/>
      <c r="H34"/>
      <c r="I34"/>
      <c r="J34"/>
      <c r="K34"/>
      <c r="L34"/>
      <c r="M34"/>
      <c r="N34"/>
      <c r="O34"/>
      <c r="P34"/>
      <c r="Q34"/>
      <c r="R34"/>
    </row>
    <row r="35" spans="2:18" s="39" customFormat="1" ht="18" customHeight="1">
      <c r="B35" s="41"/>
      <c r="C35" s="41"/>
      <c r="D35" s="41"/>
      <c r="E35" s="41"/>
      <c r="F35" s="41"/>
      <c r="G35" s="41"/>
      <c r="H35"/>
      <c r="I35"/>
      <c r="J35"/>
      <c r="K35"/>
      <c r="L35"/>
      <c r="M35"/>
      <c r="N35"/>
      <c r="O35"/>
      <c r="P35"/>
      <c r="Q35"/>
      <c r="R35"/>
    </row>
    <row r="36" spans="2:18" s="39" customFormat="1" ht="18" customHeight="1">
      <c r="B36" s="41"/>
      <c r="C36" s="41"/>
      <c r="D36" s="41"/>
      <c r="E36" s="41"/>
      <c r="F36" s="41"/>
      <c r="G36" s="41"/>
      <c r="H36"/>
      <c r="I36"/>
      <c r="J36"/>
      <c r="K36"/>
      <c r="L36"/>
      <c r="M36"/>
      <c r="N36"/>
      <c r="O36"/>
      <c r="P36"/>
      <c r="Q36"/>
      <c r="R36"/>
    </row>
    <row r="37" spans="2:18" s="39" customFormat="1" ht="18" customHeight="1">
      <c r="B37" s="41"/>
      <c r="C37" s="41"/>
      <c r="D37" s="41"/>
      <c r="E37" s="41"/>
      <c r="F37" s="41"/>
      <c r="G37" s="41"/>
      <c r="H37"/>
      <c r="I37"/>
      <c r="J37"/>
      <c r="K37"/>
      <c r="L37"/>
      <c r="M37"/>
      <c r="N37"/>
      <c r="O37"/>
      <c r="P37"/>
      <c r="Q37"/>
      <c r="R37"/>
    </row>
    <row r="38" spans="2:18" s="39" customFormat="1" ht="18" customHeight="1">
      <c r="B38" s="41"/>
      <c r="C38" s="41"/>
      <c r="D38" s="41"/>
      <c r="E38" s="41"/>
      <c r="F38" s="41"/>
      <c r="G38" s="41"/>
      <c r="H38"/>
      <c r="I38"/>
      <c r="J38"/>
      <c r="K38"/>
      <c r="L38"/>
      <c r="M38"/>
      <c r="N38"/>
      <c r="O38"/>
      <c r="P38"/>
      <c r="Q38"/>
      <c r="R38"/>
    </row>
    <row r="39" spans="2:18" s="39" customFormat="1" ht="18" customHeight="1">
      <c r="B39" s="41"/>
      <c r="C39" s="41"/>
      <c r="D39" s="41"/>
      <c r="E39" s="41"/>
      <c r="F39" s="41"/>
      <c r="G39" s="41"/>
      <c r="H39"/>
      <c r="I39"/>
      <c r="J39"/>
      <c r="K39"/>
      <c r="L39"/>
      <c r="M39"/>
      <c r="N39"/>
      <c r="O39"/>
      <c r="P39"/>
      <c r="Q39"/>
      <c r="R39"/>
    </row>
    <row r="40" spans="2:18" s="39" customFormat="1" ht="18" customHeight="1">
      <c r="B40" s="41"/>
      <c r="C40" s="41"/>
      <c r="D40" s="41"/>
      <c r="E40" s="41"/>
      <c r="F40" s="41"/>
      <c r="G40" s="41"/>
      <c r="H40"/>
      <c r="I40"/>
      <c r="J40"/>
      <c r="K40"/>
      <c r="L40"/>
      <c r="M40"/>
      <c r="N40"/>
      <c r="O40"/>
      <c r="P40"/>
      <c r="Q40"/>
      <c r="R40"/>
    </row>
    <row r="41" spans="2:18" s="39" customFormat="1" ht="18" customHeight="1">
      <c r="B41" s="41"/>
      <c r="C41" s="41"/>
      <c r="D41" s="41"/>
      <c r="E41" s="41"/>
      <c r="F41" s="41"/>
      <c r="G41" s="41"/>
      <c r="H41"/>
      <c r="I41"/>
      <c r="J41"/>
      <c r="K41"/>
      <c r="L41"/>
      <c r="M41"/>
      <c r="N41"/>
      <c r="O41"/>
      <c r="P41"/>
      <c r="Q41"/>
      <c r="R41"/>
    </row>
    <row r="42" spans="2:18" s="39" customFormat="1" ht="18" customHeight="1">
      <c r="B42" s="41"/>
      <c r="C42" s="41"/>
      <c r="D42" s="41"/>
      <c r="E42" s="41"/>
      <c r="F42" s="41"/>
      <c r="G42" s="41"/>
      <c r="H42"/>
      <c r="I42"/>
      <c r="J42"/>
      <c r="K42"/>
      <c r="L42"/>
      <c r="M42"/>
      <c r="N42"/>
      <c r="O42"/>
      <c r="P42"/>
      <c r="Q42"/>
      <c r="R42"/>
    </row>
    <row r="43" spans="2:18" s="39" customFormat="1" ht="18" customHeight="1">
      <c r="B43" s="41"/>
      <c r="C43" s="41"/>
      <c r="D43" s="41"/>
      <c r="E43" s="41"/>
      <c r="F43" s="41"/>
      <c r="G43" s="41"/>
      <c r="H43"/>
      <c r="I43"/>
      <c r="J43"/>
      <c r="K43"/>
      <c r="L43"/>
      <c r="M43"/>
      <c r="N43"/>
      <c r="O43"/>
      <c r="P43"/>
      <c r="Q43"/>
      <c r="R43"/>
    </row>
    <row r="44" spans="2:18" s="39" customFormat="1" ht="18" customHeight="1">
      <c r="B44" s="41"/>
      <c r="C44" s="41"/>
      <c r="D44" s="41"/>
      <c r="E44" s="41"/>
      <c r="F44" s="41"/>
      <c r="G44" s="41"/>
      <c r="H44"/>
      <c r="I44"/>
      <c r="J44"/>
      <c r="K44"/>
      <c r="L44"/>
      <c r="M44"/>
      <c r="N44"/>
      <c r="O44"/>
      <c r="P44"/>
      <c r="Q44"/>
      <c r="R44"/>
    </row>
    <row r="45" spans="2:18" s="39" customFormat="1" ht="18" customHeight="1">
      <c r="B45" s="41"/>
      <c r="C45" s="41"/>
      <c r="D45" s="41"/>
      <c r="E45" s="41"/>
      <c r="F45" s="41"/>
      <c r="G45" s="41"/>
      <c r="H45"/>
      <c r="I45"/>
      <c r="J45"/>
      <c r="K45"/>
      <c r="L45"/>
      <c r="M45"/>
      <c r="N45"/>
      <c r="O45"/>
      <c r="P45"/>
      <c r="Q45"/>
      <c r="R45"/>
    </row>
    <row r="46" spans="2:18" s="39" customFormat="1" ht="18" customHeight="1">
      <c r="B46" s="41"/>
      <c r="C46" s="41"/>
      <c r="D46" s="41"/>
      <c r="E46" s="41"/>
      <c r="F46" s="41"/>
      <c r="G46" s="41"/>
      <c r="H46"/>
      <c r="I46"/>
      <c r="J46"/>
      <c r="K46"/>
      <c r="L46"/>
      <c r="M46"/>
      <c r="N46"/>
      <c r="O46"/>
      <c r="P46"/>
      <c r="Q46"/>
      <c r="R4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A2BD-DF74-48FD-B3AE-AF437EF52C7C}">
  <dimension ref="A1:D4"/>
  <sheetViews>
    <sheetView workbookViewId="0">
      <pane ySplit="1" topLeftCell="A2" activePane="bottomLeft" state="frozenSplit"/>
      <selection pane="bottomLeft" activeCell="D9" sqref="D9"/>
    </sheetView>
  </sheetViews>
  <sheetFormatPr defaultRowHeight="15"/>
  <cols>
    <col min="1" max="3" width="12.5703125" customWidth="1"/>
    <col min="4" max="4" width="83.42578125" customWidth="1"/>
  </cols>
  <sheetData>
    <row r="1" spans="1:4">
      <c r="A1" t="s">
        <v>366</v>
      </c>
      <c r="B1" t="s">
        <v>370</v>
      </c>
      <c r="C1" t="s">
        <v>371</v>
      </c>
    </row>
    <row r="3" spans="1:4">
      <c r="A3" t="s">
        <v>367</v>
      </c>
      <c r="B3" t="s">
        <v>369</v>
      </c>
      <c r="C3" t="s">
        <v>372</v>
      </c>
      <c r="D3" t="s">
        <v>368</v>
      </c>
    </row>
    <row r="4" spans="1:4">
      <c r="A4" t="s">
        <v>377</v>
      </c>
      <c r="B4" t="s">
        <v>369</v>
      </c>
      <c r="C4" t="s">
        <v>378</v>
      </c>
      <c r="D4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BOM</vt:lpstr>
      <vt:lpstr>CC-Mercury</vt:lpstr>
      <vt:lpstr>SAP_STD_CONDUCTORS</vt:lpstr>
      <vt:lpstr>SAP_STD_INS_CORE_LEADS</vt:lpstr>
      <vt:lpstr>SAP_STD_BUSHINGS</vt:lpstr>
      <vt:lpstr>SAP_STD_SPADES</vt:lpstr>
      <vt:lpstr>SAP_STD_SWITCHES</vt:lpstr>
      <vt:lpstr>SAP_STD_FUSES</vt:lpstr>
      <vt:lpstr>SAP_STD_GAUGES</vt:lpstr>
      <vt:lpstr>ME TA-SS_LIST</vt:lpstr>
      <vt:lpstr>ME Components</vt:lpstr>
      <vt:lpstr>ME TA-PP_LIST</vt:lpstr>
      <vt:lpstr>ME_TANK STEEL &amp; OIL</vt:lpstr>
      <vt:lpstr>Revisions</vt:lpstr>
      <vt:lpstr>Coating_Adder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Cruz</dc:creator>
  <cp:lastModifiedBy>Sandra Cruz</cp:lastModifiedBy>
  <dcterms:created xsi:type="dcterms:W3CDTF">2025-11-12T17:20:15Z</dcterms:created>
  <dcterms:modified xsi:type="dcterms:W3CDTF">2026-01-13T19:40:16Z</dcterms:modified>
</cp:coreProperties>
</file>